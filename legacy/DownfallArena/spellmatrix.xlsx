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LI29BQ\source\repos\DownfallArena\DownfallArena\"/>
    </mc:Choice>
  </mc:AlternateContent>
  <xr:revisionPtr revIDLastSave="0" documentId="13_ncr:1_{695739B9-F4E9-49C8-AB16-781161925A71}" xr6:coauthVersionLast="36" xr6:coauthVersionMax="36" xr10:uidLastSave="{00000000-0000-0000-0000-000000000000}"/>
  <bookViews>
    <workbookView xWindow="0" yWindow="0" windowWidth="24720" windowHeight="12225" tabRatio="677" activeTab="1" xr2:uid="{00000000-000D-0000-FFFF-FFFF00000000}"/>
  </bookViews>
  <sheets>
    <sheet name="Brawler" sheetId="28" r:id="rId1"/>
    <sheet name="Scoundrel" sheetId="26" r:id="rId2"/>
    <sheet name="Sorcerer" sheetId="27" r:id="rId3"/>
    <sheet name="Ranger2" sheetId="25" r:id="rId4"/>
    <sheet name="Mage2" sheetId="24" r:id="rId5"/>
    <sheet name="Fighter2" sheetId="22" r:id="rId6"/>
    <sheet name="Basic" sheetId="13" r:id="rId7"/>
    <sheet name="Sheet3" sheetId="15" r:id="rId8"/>
    <sheet name="Scores" sheetId="16" r:id="rId9"/>
    <sheet name="References" sheetId="9" r:id="rId10"/>
    <sheet name="Fighter" sheetId="11" r:id="rId11"/>
    <sheet name="Ranger" sheetId="10" r:id="rId12"/>
    <sheet name="Sheet5" sheetId="19" r:id="rId13"/>
    <sheet name="Mage" sheetId="12" r:id="rId14"/>
    <sheet name="Sheet2" sheetId="8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V53" i="27" l="1"/>
  <c r="U53" i="27"/>
  <c r="Y31" i="27"/>
  <c r="X39" i="27"/>
  <c r="W39" i="27"/>
  <c r="X38" i="27"/>
  <c r="W38" i="27"/>
  <c r="Z37" i="27"/>
  <c r="Y37" i="27"/>
  <c r="X37" i="27"/>
  <c r="W37" i="27"/>
  <c r="W34" i="27"/>
  <c r="W33" i="27"/>
  <c r="Y32" i="27"/>
  <c r="W32" i="27"/>
  <c r="W31" i="27"/>
  <c r="W30" i="27"/>
  <c r="AB46" i="26"/>
  <c r="AA53" i="26"/>
  <c r="Z53" i="26"/>
  <c r="AC52" i="26"/>
  <c r="AB52" i="26"/>
  <c r="AA52" i="26"/>
  <c r="Z52" i="26"/>
  <c r="Z49" i="26"/>
  <c r="Z48" i="26"/>
  <c r="AB47" i="26"/>
  <c r="Z47" i="26"/>
  <c r="Z46" i="26"/>
  <c r="Z45" i="26"/>
  <c r="W46" i="26"/>
  <c r="V54" i="26"/>
  <c r="U54" i="26"/>
  <c r="V53" i="26"/>
  <c r="U53" i="26"/>
  <c r="X52" i="26"/>
  <c r="W52" i="26"/>
  <c r="V52" i="26"/>
  <c r="U52" i="26"/>
  <c r="U49" i="26"/>
  <c r="U48" i="26"/>
  <c r="W47" i="26"/>
  <c r="U47" i="26"/>
  <c r="U46" i="26"/>
  <c r="U45" i="26"/>
  <c r="W39" i="26"/>
  <c r="X38" i="26"/>
  <c r="W38" i="26"/>
  <c r="M11" i="26"/>
  <c r="L11" i="26"/>
  <c r="H11" i="26"/>
  <c r="G11" i="26"/>
  <c r="O10" i="26"/>
  <c r="N10" i="26"/>
  <c r="M10" i="26"/>
  <c r="L10" i="26"/>
  <c r="J10" i="26"/>
  <c r="I10" i="26"/>
  <c r="H10" i="26"/>
  <c r="G10" i="26"/>
  <c r="E10" i="26"/>
  <c r="D10" i="26"/>
  <c r="C10" i="26"/>
  <c r="B10" i="26"/>
  <c r="L7" i="26"/>
  <c r="G7" i="26"/>
  <c r="B7" i="26"/>
  <c r="L6" i="26"/>
  <c r="G6" i="26"/>
  <c r="B6" i="26"/>
  <c r="N5" i="26"/>
  <c r="L5" i="26"/>
  <c r="I5" i="26"/>
  <c r="G5" i="26"/>
  <c r="B5" i="26"/>
  <c r="N4" i="26"/>
  <c r="L4" i="26"/>
  <c r="I4" i="26"/>
  <c r="G4" i="26"/>
  <c r="D4" i="26"/>
  <c r="B4" i="26"/>
  <c r="L3" i="26"/>
  <c r="G3" i="26"/>
  <c r="B3" i="26"/>
  <c r="Y31" i="26"/>
  <c r="L54" i="27"/>
  <c r="K54" i="27"/>
  <c r="Q53" i="27"/>
  <c r="P53" i="27"/>
  <c r="L53" i="27"/>
  <c r="K53" i="27"/>
  <c r="S52" i="27"/>
  <c r="R52" i="27"/>
  <c r="Q52" i="27"/>
  <c r="P52" i="27"/>
  <c r="N52" i="27"/>
  <c r="M52" i="27"/>
  <c r="L52" i="27"/>
  <c r="K52" i="27"/>
  <c r="P49" i="27"/>
  <c r="K49" i="27"/>
  <c r="P48" i="27"/>
  <c r="K48" i="27"/>
  <c r="R47" i="27"/>
  <c r="P47" i="27"/>
  <c r="M47" i="27"/>
  <c r="K47" i="27"/>
  <c r="R46" i="27"/>
  <c r="P46" i="27"/>
  <c r="M46" i="27"/>
  <c r="K46" i="27"/>
  <c r="P45" i="27"/>
  <c r="K45" i="27"/>
  <c r="P37" i="27"/>
  <c r="O37" i="27"/>
  <c r="N37" i="27"/>
  <c r="M37" i="27"/>
  <c r="M34" i="27"/>
  <c r="M33" i="27"/>
  <c r="O32" i="27"/>
  <c r="M32" i="27"/>
  <c r="O31" i="27"/>
  <c r="M31" i="27"/>
  <c r="M30" i="27"/>
  <c r="G54" i="26"/>
  <c r="F54" i="26"/>
  <c r="B54" i="26"/>
  <c r="A54" i="26"/>
  <c r="G53" i="26"/>
  <c r="F53" i="26"/>
  <c r="B53" i="26"/>
  <c r="A53" i="26"/>
  <c r="I52" i="26"/>
  <c r="H52" i="26"/>
  <c r="G52" i="26"/>
  <c r="F52" i="26"/>
  <c r="D52" i="26"/>
  <c r="C52" i="26"/>
  <c r="B52" i="26"/>
  <c r="A52" i="26"/>
  <c r="F49" i="26"/>
  <c r="A49" i="26"/>
  <c r="F48" i="26"/>
  <c r="A48" i="26"/>
  <c r="H47" i="26"/>
  <c r="F47" i="26"/>
  <c r="C47" i="26"/>
  <c r="A47" i="26"/>
  <c r="H46" i="26"/>
  <c r="F46" i="26"/>
  <c r="C46" i="26"/>
  <c r="A46" i="26"/>
  <c r="F45" i="26"/>
  <c r="A45" i="26"/>
  <c r="D39" i="26"/>
  <c r="C39" i="26"/>
  <c r="D38" i="26"/>
  <c r="C38" i="26"/>
  <c r="F37" i="26"/>
  <c r="E37" i="26"/>
  <c r="D37" i="26"/>
  <c r="C37" i="26"/>
  <c r="C34" i="26"/>
  <c r="C33" i="26"/>
  <c r="E32" i="26"/>
  <c r="C32" i="26"/>
  <c r="E31" i="26"/>
  <c r="C31" i="26"/>
  <c r="C30" i="26"/>
  <c r="M11" i="27"/>
  <c r="L11" i="27"/>
  <c r="H11" i="27"/>
  <c r="G11" i="27"/>
  <c r="O10" i="27"/>
  <c r="N10" i="27"/>
  <c r="M10" i="27"/>
  <c r="L10" i="27"/>
  <c r="J10" i="27"/>
  <c r="I10" i="27"/>
  <c r="H10" i="27"/>
  <c r="G10" i="27"/>
  <c r="E10" i="27"/>
  <c r="D10" i="27"/>
  <c r="C10" i="27"/>
  <c r="B10" i="27"/>
  <c r="L7" i="27"/>
  <c r="G7" i="27"/>
  <c r="B7" i="27"/>
  <c r="L6" i="27"/>
  <c r="G6" i="27"/>
  <c r="B6" i="27"/>
  <c r="N5" i="27"/>
  <c r="L5" i="27"/>
  <c r="I5" i="27"/>
  <c r="G5" i="27"/>
  <c r="B5" i="27"/>
  <c r="N4" i="27"/>
  <c r="L4" i="27"/>
  <c r="I4" i="27"/>
  <c r="G4" i="27"/>
  <c r="D4" i="27"/>
  <c r="B4" i="27"/>
  <c r="L3" i="27"/>
  <c r="G3" i="27"/>
  <c r="B3" i="27"/>
  <c r="D4" i="28"/>
  <c r="G56" i="28"/>
  <c r="F56" i="28"/>
  <c r="G55" i="28"/>
  <c r="F55" i="28"/>
  <c r="AA54" i="28"/>
  <c r="Z54" i="28"/>
  <c r="L54" i="28"/>
  <c r="K54" i="28"/>
  <c r="G54" i="28"/>
  <c r="F54" i="28"/>
  <c r="AA53" i="28"/>
  <c r="Z53" i="28"/>
  <c r="V53" i="28"/>
  <c r="U53" i="28"/>
  <c r="Q53" i="28"/>
  <c r="P53" i="28"/>
  <c r="L53" i="28"/>
  <c r="K53" i="28"/>
  <c r="G53" i="28"/>
  <c r="F53" i="28"/>
  <c r="B53" i="28"/>
  <c r="A53" i="28"/>
  <c r="AC52" i="28"/>
  <c r="AB52" i="28"/>
  <c r="AA52" i="28"/>
  <c r="Z52" i="28"/>
  <c r="X52" i="28"/>
  <c r="W52" i="28"/>
  <c r="V52" i="28"/>
  <c r="U52" i="28"/>
  <c r="S52" i="28"/>
  <c r="R52" i="28"/>
  <c r="Q52" i="28"/>
  <c r="P52" i="28"/>
  <c r="N52" i="28"/>
  <c r="M52" i="28"/>
  <c r="L52" i="28"/>
  <c r="K52" i="28"/>
  <c r="I52" i="28"/>
  <c r="H52" i="28"/>
  <c r="G52" i="28"/>
  <c r="F52" i="28"/>
  <c r="D52" i="28"/>
  <c r="C52" i="28"/>
  <c r="B52" i="28"/>
  <c r="A52" i="28"/>
  <c r="Z49" i="28"/>
  <c r="U49" i="28"/>
  <c r="P49" i="28"/>
  <c r="K49" i="28"/>
  <c r="F49" i="28"/>
  <c r="A49" i="28"/>
  <c r="Z48" i="28"/>
  <c r="U48" i="28"/>
  <c r="P48" i="28"/>
  <c r="K48" i="28"/>
  <c r="F48" i="28"/>
  <c r="A48" i="28"/>
  <c r="AB47" i="28"/>
  <c r="Z47" i="28"/>
  <c r="W47" i="28"/>
  <c r="U47" i="28"/>
  <c r="R47" i="28"/>
  <c r="P47" i="28"/>
  <c r="M47" i="28"/>
  <c r="K47" i="28"/>
  <c r="H47" i="28"/>
  <c r="F47" i="28"/>
  <c r="C47" i="28"/>
  <c r="A47" i="28"/>
  <c r="AB46" i="28"/>
  <c r="Z46" i="28"/>
  <c r="W46" i="28"/>
  <c r="U46" i="28"/>
  <c r="R46" i="28"/>
  <c r="P46" i="28"/>
  <c r="M46" i="28"/>
  <c r="K46" i="28"/>
  <c r="H46" i="28"/>
  <c r="F46" i="28"/>
  <c r="C46" i="28"/>
  <c r="A46" i="28"/>
  <c r="Z45" i="28"/>
  <c r="U45" i="28"/>
  <c r="P45" i="28"/>
  <c r="K45" i="28"/>
  <c r="F45" i="28"/>
  <c r="A45" i="28"/>
  <c r="D40" i="28"/>
  <c r="C40" i="28"/>
  <c r="X39" i="28"/>
  <c r="W39" i="28"/>
  <c r="D39" i="28"/>
  <c r="C39" i="28"/>
  <c r="X38" i="28"/>
  <c r="W38" i="28"/>
  <c r="N38" i="28"/>
  <c r="M38" i="28"/>
  <c r="D38" i="28"/>
  <c r="C38" i="28"/>
  <c r="Z37" i="28"/>
  <c r="Y37" i="28"/>
  <c r="X37" i="28"/>
  <c r="W37" i="28"/>
  <c r="P37" i="28"/>
  <c r="O37" i="28"/>
  <c r="N37" i="28"/>
  <c r="M37" i="28"/>
  <c r="F37" i="28"/>
  <c r="E37" i="28"/>
  <c r="D37" i="28"/>
  <c r="C37" i="28"/>
  <c r="W34" i="28"/>
  <c r="M34" i="28"/>
  <c r="C34" i="28"/>
  <c r="W33" i="28"/>
  <c r="M33" i="28"/>
  <c r="C33" i="28"/>
  <c r="Y32" i="28"/>
  <c r="W32" i="28"/>
  <c r="O32" i="28"/>
  <c r="M32" i="28"/>
  <c r="E32" i="28"/>
  <c r="C32" i="28"/>
  <c r="Y31" i="28"/>
  <c r="W31" i="28"/>
  <c r="O31" i="28"/>
  <c r="M31" i="28"/>
  <c r="E31" i="28"/>
  <c r="C31" i="28"/>
  <c r="W30" i="28"/>
  <c r="M30" i="28"/>
  <c r="C30" i="28"/>
  <c r="H26" i="28"/>
  <c r="G26" i="28"/>
  <c r="H25" i="28"/>
  <c r="G25" i="28"/>
  <c r="C25" i="28"/>
  <c r="B25" i="28"/>
  <c r="J24" i="28"/>
  <c r="I24" i="28"/>
  <c r="H24" i="28"/>
  <c r="G24" i="28"/>
  <c r="E24" i="28"/>
  <c r="D24" i="28"/>
  <c r="C24" i="28"/>
  <c r="B24" i="28"/>
  <c r="G21" i="28"/>
  <c r="B21" i="28"/>
  <c r="G20" i="28"/>
  <c r="B20" i="28"/>
  <c r="I19" i="28"/>
  <c r="G19" i="28"/>
  <c r="D19" i="28"/>
  <c r="B19" i="28"/>
  <c r="I18" i="28"/>
  <c r="G18" i="28"/>
  <c r="D18" i="28"/>
  <c r="B18" i="28"/>
  <c r="G17" i="28"/>
  <c r="B17" i="28"/>
  <c r="M11" i="28"/>
  <c r="L11" i="28"/>
  <c r="H11" i="28"/>
  <c r="G11" i="28"/>
  <c r="O10" i="28"/>
  <c r="N10" i="28"/>
  <c r="M10" i="28"/>
  <c r="L10" i="28"/>
  <c r="J10" i="28"/>
  <c r="I10" i="28"/>
  <c r="H10" i="28"/>
  <c r="G10" i="28"/>
  <c r="E10" i="28"/>
  <c r="D10" i="28"/>
  <c r="C10" i="28"/>
  <c r="B10" i="28"/>
  <c r="L7" i="28"/>
  <c r="G7" i="28"/>
  <c r="B7" i="28"/>
  <c r="L6" i="28"/>
  <c r="G6" i="28"/>
  <c r="B6" i="28"/>
  <c r="N5" i="28"/>
  <c r="L5" i="28"/>
  <c r="I5" i="28"/>
  <c r="G5" i="28"/>
  <c r="B5" i="28"/>
  <c r="N4" i="28"/>
  <c r="L4" i="28"/>
  <c r="I4" i="28"/>
  <c r="G4" i="28"/>
  <c r="B4" i="28"/>
  <c r="L3" i="28"/>
  <c r="G3" i="28"/>
  <c r="B3" i="28"/>
  <c r="AA54" i="27"/>
  <c r="Z54" i="27"/>
  <c r="A54" i="27"/>
  <c r="AA53" i="27"/>
  <c r="Z53" i="27"/>
  <c r="G53" i="27"/>
  <c r="F53" i="27"/>
  <c r="B53" i="27"/>
  <c r="A53" i="27"/>
  <c r="AC52" i="27"/>
  <c r="AB52" i="27"/>
  <c r="AA52" i="27"/>
  <c r="Z52" i="27"/>
  <c r="X52" i="27"/>
  <c r="W52" i="27"/>
  <c r="V52" i="27"/>
  <c r="U52" i="27"/>
  <c r="I52" i="27"/>
  <c r="H52" i="27"/>
  <c r="G52" i="27"/>
  <c r="F52" i="27"/>
  <c r="D52" i="27"/>
  <c r="C52" i="27"/>
  <c r="B52" i="27"/>
  <c r="A52" i="27"/>
  <c r="Z49" i="27"/>
  <c r="U49" i="27"/>
  <c r="F49" i="27"/>
  <c r="A49" i="27"/>
  <c r="Z48" i="27"/>
  <c r="U48" i="27"/>
  <c r="F48" i="27"/>
  <c r="A48" i="27"/>
  <c r="AB47" i="27"/>
  <c r="Z47" i="27"/>
  <c r="W47" i="27"/>
  <c r="U47" i="27"/>
  <c r="H47" i="27"/>
  <c r="F47" i="27"/>
  <c r="C47" i="27"/>
  <c r="A47" i="27"/>
  <c r="AB46" i="27"/>
  <c r="Z46" i="27"/>
  <c r="W46" i="27"/>
  <c r="U46" i="27"/>
  <c r="H46" i="27"/>
  <c r="F46" i="27"/>
  <c r="C46" i="27"/>
  <c r="A46" i="27"/>
  <c r="Z45" i="27"/>
  <c r="U45" i="27"/>
  <c r="F45" i="27"/>
  <c r="A45" i="27"/>
  <c r="D38" i="27"/>
  <c r="C38" i="27"/>
  <c r="F37" i="27"/>
  <c r="E37" i="27"/>
  <c r="D37" i="27"/>
  <c r="C37" i="27"/>
  <c r="C34" i="27"/>
  <c r="C33" i="27"/>
  <c r="E32" i="27"/>
  <c r="C32" i="27"/>
  <c r="E31" i="27"/>
  <c r="C31" i="27"/>
  <c r="C30" i="27"/>
  <c r="H25" i="27"/>
  <c r="G25" i="27"/>
  <c r="C25" i="27"/>
  <c r="B25" i="27"/>
  <c r="J24" i="27"/>
  <c r="I24" i="27"/>
  <c r="H24" i="27"/>
  <c r="G24" i="27"/>
  <c r="E24" i="27"/>
  <c r="D24" i="27"/>
  <c r="C24" i="27"/>
  <c r="B24" i="27"/>
  <c r="I23" i="27"/>
  <c r="G21" i="27"/>
  <c r="B21" i="27"/>
  <c r="G20" i="27"/>
  <c r="B20" i="27"/>
  <c r="I19" i="27"/>
  <c r="G19" i="27"/>
  <c r="D19" i="27"/>
  <c r="B19" i="27"/>
  <c r="I18" i="27"/>
  <c r="G18" i="27"/>
  <c r="D18" i="27"/>
  <c r="B18" i="27"/>
  <c r="G17" i="27"/>
  <c r="B17" i="27"/>
  <c r="Q53" i="26"/>
  <c r="P53" i="26"/>
  <c r="S52" i="26"/>
  <c r="R52" i="26"/>
  <c r="Q52" i="26"/>
  <c r="P52" i="26"/>
  <c r="N52" i="26"/>
  <c r="M52" i="26"/>
  <c r="L52" i="26"/>
  <c r="K52" i="26"/>
  <c r="P49" i="26"/>
  <c r="K49" i="26"/>
  <c r="P48" i="26"/>
  <c r="K48" i="26"/>
  <c r="R47" i="26"/>
  <c r="P47" i="26"/>
  <c r="M47" i="26"/>
  <c r="K47" i="26"/>
  <c r="R46" i="26"/>
  <c r="P46" i="26"/>
  <c r="M46" i="26"/>
  <c r="K46" i="26"/>
  <c r="P45" i="26"/>
  <c r="K45" i="26"/>
  <c r="Z37" i="26"/>
  <c r="Y37" i="26"/>
  <c r="X37" i="26"/>
  <c r="W37" i="26"/>
  <c r="P37" i="26"/>
  <c r="O37" i="26"/>
  <c r="N37" i="26"/>
  <c r="M37" i="26"/>
  <c r="W34" i="26"/>
  <c r="M34" i="26"/>
  <c r="W33" i="26"/>
  <c r="M33" i="26"/>
  <c r="Y32" i="26"/>
  <c r="W32" i="26"/>
  <c r="O32" i="26"/>
  <c r="M32" i="26"/>
  <c r="W31" i="26"/>
  <c r="O31" i="26"/>
  <c r="M31" i="26"/>
  <c r="W30" i="26"/>
  <c r="M30" i="26"/>
  <c r="C26" i="26"/>
  <c r="B26" i="26"/>
  <c r="H25" i="26"/>
  <c r="G25" i="26"/>
  <c r="C25" i="26"/>
  <c r="B25" i="26"/>
  <c r="J24" i="26"/>
  <c r="I24" i="26"/>
  <c r="H24" i="26"/>
  <c r="G24" i="26"/>
  <c r="E24" i="26"/>
  <c r="D24" i="26"/>
  <c r="C24" i="26"/>
  <c r="B24" i="26"/>
  <c r="G21" i="26"/>
  <c r="B21" i="26"/>
  <c r="G20" i="26"/>
  <c r="B20" i="26"/>
  <c r="I19" i="26"/>
  <c r="G19" i="26"/>
  <c r="D19" i="26"/>
  <c r="B19" i="26"/>
  <c r="I18" i="26"/>
  <c r="G18" i="26"/>
  <c r="D18" i="26"/>
  <c r="B18" i="26"/>
  <c r="G17" i="26"/>
  <c r="B17" i="26"/>
  <c r="R46" i="25"/>
  <c r="AA53" i="25"/>
  <c r="Z53" i="25"/>
  <c r="AC52" i="25"/>
  <c r="AB52" i="25"/>
  <c r="AA52" i="25"/>
  <c r="Z52" i="25"/>
  <c r="Z49" i="25"/>
  <c r="Z48" i="25"/>
  <c r="AB47" i="25"/>
  <c r="Z47" i="25"/>
  <c r="AB46" i="25"/>
  <c r="Z46" i="25"/>
  <c r="Z45" i="25"/>
  <c r="V54" i="25"/>
  <c r="U54" i="25"/>
  <c r="V53" i="25"/>
  <c r="U53" i="25"/>
  <c r="X52" i="25"/>
  <c r="W52" i="25"/>
  <c r="V52" i="25"/>
  <c r="U52" i="25"/>
  <c r="U49" i="25"/>
  <c r="U48" i="25"/>
  <c r="W47" i="25"/>
  <c r="U47" i="25"/>
  <c r="W46" i="25"/>
  <c r="U46" i="25"/>
  <c r="U45" i="25"/>
  <c r="N52" i="25"/>
  <c r="M52" i="25"/>
  <c r="L52" i="25"/>
  <c r="K52" i="25"/>
  <c r="K49" i="25"/>
  <c r="K48" i="25"/>
  <c r="M47" i="25"/>
  <c r="K47" i="25"/>
  <c r="M46" i="25"/>
  <c r="K46" i="25"/>
  <c r="K45" i="25"/>
  <c r="G56" i="25"/>
  <c r="F56" i="25"/>
  <c r="G55" i="25"/>
  <c r="F55" i="25"/>
  <c r="G54" i="25"/>
  <c r="F54" i="25"/>
  <c r="G53" i="25"/>
  <c r="F53" i="25"/>
  <c r="I52" i="25"/>
  <c r="H52" i="25"/>
  <c r="G52" i="25"/>
  <c r="F52" i="25"/>
  <c r="F49" i="25"/>
  <c r="F48" i="25"/>
  <c r="H47" i="25"/>
  <c r="F47" i="25"/>
  <c r="H46" i="25"/>
  <c r="F46" i="25"/>
  <c r="F45" i="25"/>
  <c r="B54" i="25"/>
  <c r="A54" i="25"/>
  <c r="B53" i="25"/>
  <c r="A53" i="25"/>
  <c r="D52" i="25"/>
  <c r="C52" i="25"/>
  <c r="B52" i="25"/>
  <c r="A52" i="25"/>
  <c r="A49" i="25"/>
  <c r="A48" i="25"/>
  <c r="C47" i="25"/>
  <c r="A47" i="25"/>
  <c r="C46" i="25"/>
  <c r="A46" i="25"/>
  <c r="A45" i="25"/>
  <c r="Z37" i="25"/>
  <c r="Y37" i="25"/>
  <c r="X37" i="25"/>
  <c r="W37" i="25"/>
  <c r="W34" i="25"/>
  <c r="W33" i="25"/>
  <c r="Y32" i="25"/>
  <c r="W32" i="25"/>
  <c r="Y31" i="25"/>
  <c r="W31" i="25"/>
  <c r="W30" i="25"/>
  <c r="P37" i="25"/>
  <c r="O37" i="25"/>
  <c r="N37" i="25"/>
  <c r="M37" i="25"/>
  <c r="M34" i="25"/>
  <c r="M33" i="25"/>
  <c r="O32" i="25"/>
  <c r="M32" i="25"/>
  <c r="O31" i="25"/>
  <c r="M31" i="25"/>
  <c r="M30" i="25"/>
  <c r="D39" i="25"/>
  <c r="C39" i="25"/>
  <c r="D38" i="25"/>
  <c r="C38" i="25"/>
  <c r="F37" i="25"/>
  <c r="E37" i="25"/>
  <c r="D37" i="25"/>
  <c r="C37" i="25"/>
  <c r="C34" i="25"/>
  <c r="C33" i="25"/>
  <c r="E32" i="25"/>
  <c r="C32" i="25"/>
  <c r="E31" i="25"/>
  <c r="C31" i="25"/>
  <c r="C30" i="25"/>
  <c r="H25" i="25"/>
  <c r="G25" i="25"/>
  <c r="J24" i="25"/>
  <c r="I24" i="25"/>
  <c r="H24" i="25"/>
  <c r="G24" i="25"/>
  <c r="G21" i="25"/>
  <c r="G20" i="25"/>
  <c r="I19" i="25"/>
  <c r="G19" i="25"/>
  <c r="I18" i="25"/>
  <c r="G18" i="25"/>
  <c r="G17" i="25"/>
  <c r="C26" i="25"/>
  <c r="B26" i="25"/>
  <c r="C25" i="25"/>
  <c r="B25" i="25"/>
  <c r="E24" i="25"/>
  <c r="D24" i="25"/>
  <c r="C24" i="25"/>
  <c r="B24" i="25"/>
  <c r="B21" i="25"/>
  <c r="B20" i="25"/>
  <c r="D19" i="25"/>
  <c r="B19" i="25"/>
  <c r="D18" i="25"/>
  <c r="B18" i="25"/>
  <c r="B17" i="25"/>
  <c r="Q53" i="25"/>
  <c r="P53" i="25"/>
  <c r="S52" i="25"/>
  <c r="R52" i="25"/>
  <c r="Q52" i="25"/>
  <c r="P52" i="25"/>
  <c r="P49" i="25"/>
  <c r="P48" i="25"/>
  <c r="R47" i="25"/>
  <c r="P47" i="25"/>
  <c r="P46" i="25"/>
  <c r="P45" i="25"/>
  <c r="M11" i="25"/>
  <c r="L11" i="25"/>
  <c r="H11" i="25"/>
  <c r="G11" i="25"/>
  <c r="O10" i="25"/>
  <c r="N10" i="25"/>
  <c r="M10" i="25"/>
  <c r="L10" i="25"/>
  <c r="J10" i="25"/>
  <c r="I10" i="25"/>
  <c r="H10" i="25"/>
  <c r="G10" i="25"/>
  <c r="E10" i="25"/>
  <c r="D10" i="25"/>
  <c r="C10" i="25"/>
  <c r="B10" i="25"/>
  <c r="L7" i="25"/>
  <c r="G7" i="25"/>
  <c r="B7" i="25"/>
  <c r="L6" i="25"/>
  <c r="G6" i="25"/>
  <c r="B6" i="25"/>
  <c r="N5" i="25"/>
  <c r="L5" i="25"/>
  <c r="I5" i="25"/>
  <c r="G5" i="25"/>
  <c r="B5" i="25"/>
  <c r="N4" i="25"/>
  <c r="L4" i="25"/>
  <c r="I4" i="25"/>
  <c r="G4" i="25"/>
  <c r="D4" i="25"/>
  <c r="B4" i="25"/>
  <c r="L3" i="25"/>
  <c r="G3" i="25"/>
  <c r="B3" i="25"/>
  <c r="AA54" i="24"/>
  <c r="Z54" i="24"/>
  <c r="AA53" i="24"/>
  <c r="Z53" i="24"/>
  <c r="AC52" i="24"/>
  <c r="AB52" i="24"/>
  <c r="AA52" i="24"/>
  <c r="Z52" i="24"/>
  <c r="Z49" i="24"/>
  <c r="Z48" i="24"/>
  <c r="AB47" i="24"/>
  <c r="Z47" i="24"/>
  <c r="AB46" i="24"/>
  <c r="Z46" i="24"/>
  <c r="Z45" i="24"/>
  <c r="V54" i="24"/>
  <c r="U54" i="24"/>
  <c r="V53" i="24"/>
  <c r="U53" i="24"/>
  <c r="X52" i="24"/>
  <c r="W52" i="24"/>
  <c r="V52" i="24"/>
  <c r="U52" i="24"/>
  <c r="U49" i="24"/>
  <c r="U48" i="24"/>
  <c r="W47" i="24"/>
  <c r="U47" i="24"/>
  <c r="W46" i="24"/>
  <c r="U46" i="24"/>
  <c r="U45" i="24"/>
  <c r="Q54" i="24"/>
  <c r="P54" i="24"/>
  <c r="Q53" i="24"/>
  <c r="P53" i="24"/>
  <c r="S52" i="24"/>
  <c r="R52" i="24"/>
  <c r="Q52" i="24"/>
  <c r="P52" i="24"/>
  <c r="P49" i="24"/>
  <c r="P48" i="24"/>
  <c r="R47" i="24"/>
  <c r="P47" i="24"/>
  <c r="R46" i="24"/>
  <c r="P46" i="24"/>
  <c r="P45" i="24"/>
  <c r="L54" i="24"/>
  <c r="K54" i="24"/>
  <c r="L53" i="24"/>
  <c r="K53" i="24"/>
  <c r="N52" i="24"/>
  <c r="M52" i="24"/>
  <c r="L52" i="24"/>
  <c r="K52" i="24"/>
  <c r="K49" i="24"/>
  <c r="K48" i="24"/>
  <c r="M47" i="24"/>
  <c r="K47" i="24"/>
  <c r="M46" i="24"/>
  <c r="K46" i="24"/>
  <c r="K45" i="24"/>
  <c r="G53" i="24"/>
  <c r="F53" i="24"/>
  <c r="I52" i="24"/>
  <c r="H52" i="24"/>
  <c r="G52" i="24"/>
  <c r="F52" i="24"/>
  <c r="F49" i="24"/>
  <c r="F48" i="24"/>
  <c r="H47" i="24"/>
  <c r="F47" i="24"/>
  <c r="H46" i="24"/>
  <c r="F46" i="24"/>
  <c r="F45" i="24"/>
  <c r="A54" i="24"/>
  <c r="B53" i="24"/>
  <c r="A53" i="24"/>
  <c r="D52" i="24"/>
  <c r="C52" i="24"/>
  <c r="B52" i="24"/>
  <c r="A52" i="24"/>
  <c r="A49" i="24"/>
  <c r="A48" i="24"/>
  <c r="C47" i="24"/>
  <c r="A47" i="24"/>
  <c r="C46" i="24"/>
  <c r="A46" i="24"/>
  <c r="A45" i="24"/>
  <c r="X38" i="24"/>
  <c r="W38" i="24"/>
  <c r="Z37" i="24"/>
  <c r="Y37" i="24"/>
  <c r="X37" i="24"/>
  <c r="W37" i="24"/>
  <c r="W34" i="24"/>
  <c r="W33" i="24"/>
  <c r="Y32" i="24"/>
  <c r="W32" i="24"/>
  <c r="Y31" i="24"/>
  <c r="W31" i="24"/>
  <c r="W30" i="24"/>
  <c r="N39" i="24"/>
  <c r="M39" i="24"/>
  <c r="N38" i="24"/>
  <c r="M38" i="24"/>
  <c r="P37" i="24"/>
  <c r="O37" i="24"/>
  <c r="N37" i="24"/>
  <c r="M37" i="24"/>
  <c r="M34" i="24"/>
  <c r="M33" i="24"/>
  <c r="O32" i="24"/>
  <c r="M32" i="24"/>
  <c r="O31" i="24"/>
  <c r="M31" i="24"/>
  <c r="M30" i="24"/>
  <c r="D38" i="24"/>
  <c r="C38" i="24"/>
  <c r="F37" i="24"/>
  <c r="E37" i="24"/>
  <c r="D37" i="24"/>
  <c r="C37" i="24"/>
  <c r="C34" i="24"/>
  <c r="C33" i="24"/>
  <c r="E32" i="24"/>
  <c r="C32" i="24"/>
  <c r="E31" i="24"/>
  <c r="C31" i="24"/>
  <c r="C30" i="24"/>
  <c r="H25" i="24"/>
  <c r="G25" i="24"/>
  <c r="J24" i="24"/>
  <c r="I24" i="24"/>
  <c r="H24" i="24"/>
  <c r="G24" i="24"/>
  <c r="I23" i="24"/>
  <c r="G21" i="24"/>
  <c r="G20" i="24"/>
  <c r="I19" i="24"/>
  <c r="G19" i="24"/>
  <c r="I18" i="24"/>
  <c r="G18" i="24"/>
  <c r="G17" i="24"/>
  <c r="C25" i="24"/>
  <c r="B25" i="24"/>
  <c r="E24" i="24"/>
  <c r="D24" i="24"/>
  <c r="C24" i="24"/>
  <c r="B24" i="24"/>
  <c r="B21" i="24"/>
  <c r="B20" i="24"/>
  <c r="D19" i="24"/>
  <c r="B19" i="24"/>
  <c r="D18" i="24"/>
  <c r="B18" i="24"/>
  <c r="B17" i="24"/>
  <c r="M11" i="24"/>
  <c r="L11" i="24"/>
  <c r="H11" i="24"/>
  <c r="G11" i="24"/>
  <c r="O10" i="24"/>
  <c r="N10" i="24"/>
  <c r="M10" i="24"/>
  <c r="L10" i="24"/>
  <c r="J10" i="24"/>
  <c r="I10" i="24"/>
  <c r="H10" i="24"/>
  <c r="G10" i="24"/>
  <c r="E10" i="24"/>
  <c r="D10" i="24"/>
  <c r="C10" i="24"/>
  <c r="B10" i="24"/>
  <c r="L7" i="24"/>
  <c r="G7" i="24"/>
  <c r="B7" i="24"/>
  <c r="L6" i="24"/>
  <c r="G6" i="24"/>
  <c r="B6" i="24"/>
  <c r="N5" i="24"/>
  <c r="L5" i="24"/>
  <c r="I5" i="24"/>
  <c r="G5" i="24"/>
  <c r="B5" i="24"/>
  <c r="N4" i="24"/>
  <c r="L4" i="24"/>
  <c r="I4" i="24"/>
  <c r="G4" i="24"/>
  <c r="D4" i="24"/>
  <c r="B4" i="24"/>
  <c r="L3" i="24"/>
  <c r="G3" i="24"/>
  <c r="B3" i="24"/>
  <c r="M11" i="22"/>
  <c r="L11" i="22"/>
  <c r="H11" i="22"/>
  <c r="G11" i="22"/>
  <c r="O10" i="22"/>
  <c r="N10" i="22"/>
  <c r="M10" i="22"/>
  <c r="L10" i="22"/>
  <c r="J10" i="22"/>
  <c r="I10" i="22"/>
  <c r="H10" i="22"/>
  <c r="G10" i="22"/>
  <c r="E10" i="22"/>
  <c r="D10" i="22"/>
  <c r="C10" i="22"/>
  <c r="B10" i="22"/>
  <c r="L7" i="22"/>
  <c r="G7" i="22"/>
  <c r="B7" i="22"/>
  <c r="L6" i="22"/>
  <c r="G6" i="22"/>
  <c r="B6" i="22"/>
  <c r="N5" i="22"/>
  <c r="L5" i="22"/>
  <c r="I5" i="22"/>
  <c r="G5" i="22"/>
  <c r="B5" i="22"/>
  <c r="N4" i="22"/>
  <c r="L4" i="22"/>
  <c r="I4" i="22"/>
  <c r="G4" i="22"/>
  <c r="D4" i="22"/>
  <c r="B4" i="22"/>
  <c r="L3" i="22"/>
  <c r="G3" i="22"/>
  <c r="B3" i="22"/>
  <c r="AA54" i="22"/>
  <c r="Z54" i="22"/>
  <c r="AA53" i="22"/>
  <c r="Z53" i="22"/>
  <c r="AC52" i="22"/>
  <c r="AB52" i="22"/>
  <c r="AA52" i="22"/>
  <c r="Z52" i="22"/>
  <c r="Z49" i="22"/>
  <c r="Z48" i="22"/>
  <c r="AB47" i="22"/>
  <c r="Z47" i="22"/>
  <c r="AB46" i="22"/>
  <c r="Z46" i="22"/>
  <c r="Z45" i="22"/>
  <c r="V53" i="22"/>
  <c r="U53" i="22"/>
  <c r="X52" i="22"/>
  <c r="W52" i="22"/>
  <c r="V52" i="22"/>
  <c r="U52" i="22"/>
  <c r="U49" i="22"/>
  <c r="U48" i="22"/>
  <c r="W47" i="22"/>
  <c r="U47" i="22"/>
  <c r="W46" i="22"/>
  <c r="U46" i="22"/>
  <c r="U45" i="22"/>
  <c r="Q53" i="22"/>
  <c r="P53" i="22"/>
  <c r="S52" i="22"/>
  <c r="R52" i="22"/>
  <c r="Q52" i="22"/>
  <c r="P52" i="22"/>
  <c r="P49" i="22"/>
  <c r="P48" i="22"/>
  <c r="R47" i="22"/>
  <c r="P47" i="22"/>
  <c r="R46" i="22"/>
  <c r="P46" i="22"/>
  <c r="P45" i="22"/>
  <c r="L54" i="22"/>
  <c r="K54" i="22"/>
  <c r="L53" i="22"/>
  <c r="K53" i="22"/>
  <c r="N52" i="22"/>
  <c r="M52" i="22"/>
  <c r="L52" i="22"/>
  <c r="K52" i="22"/>
  <c r="K49" i="22"/>
  <c r="K48" i="22"/>
  <c r="M47" i="22"/>
  <c r="K47" i="22"/>
  <c r="M46" i="22"/>
  <c r="K46" i="22"/>
  <c r="K45" i="22"/>
  <c r="G56" i="22"/>
  <c r="F56" i="22"/>
  <c r="G55" i="22"/>
  <c r="F55" i="22"/>
  <c r="G54" i="22"/>
  <c r="F54" i="22"/>
  <c r="G53" i="22"/>
  <c r="F53" i="22"/>
  <c r="I52" i="22"/>
  <c r="H52" i="22"/>
  <c r="G52" i="22"/>
  <c r="F52" i="22"/>
  <c r="F49" i="22"/>
  <c r="F48" i="22"/>
  <c r="H47" i="22"/>
  <c r="F47" i="22"/>
  <c r="H46" i="22"/>
  <c r="F46" i="22"/>
  <c r="F45" i="22"/>
  <c r="B53" i="22"/>
  <c r="A53" i="22"/>
  <c r="D52" i="22"/>
  <c r="C52" i="22"/>
  <c r="B52" i="22"/>
  <c r="A52" i="22"/>
  <c r="A49" i="22"/>
  <c r="A48" i="22"/>
  <c r="C47" i="22"/>
  <c r="A47" i="22"/>
  <c r="C46" i="22"/>
  <c r="A46" i="22"/>
  <c r="A45" i="22"/>
  <c r="X39" i="22"/>
  <c r="W39" i="22"/>
  <c r="X38" i="22"/>
  <c r="W38" i="22"/>
  <c r="Z37" i="22"/>
  <c r="Y37" i="22"/>
  <c r="X37" i="22"/>
  <c r="W37" i="22"/>
  <c r="W34" i="22"/>
  <c r="W33" i="22"/>
  <c r="Y32" i="22"/>
  <c r="W32" i="22"/>
  <c r="Y31" i="22"/>
  <c r="W31" i="22"/>
  <c r="W30" i="22"/>
  <c r="N38" i="22"/>
  <c r="M38" i="22"/>
  <c r="P37" i="22"/>
  <c r="O37" i="22"/>
  <c r="N37" i="22"/>
  <c r="M37" i="22"/>
  <c r="M34" i="22"/>
  <c r="M33" i="22"/>
  <c r="O32" i="22"/>
  <c r="M32" i="22"/>
  <c r="O31" i="22"/>
  <c r="M31" i="22"/>
  <c r="M30" i="22"/>
  <c r="D40" i="22"/>
  <c r="C40" i="22"/>
  <c r="D39" i="22"/>
  <c r="C39" i="22"/>
  <c r="D38" i="22"/>
  <c r="C38" i="22"/>
  <c r="F37" i="22"/>
  <c r="E37" i="22"/>
  <c r="D37" i="22"/>
  <c r="C37" i="22"/>
  <c r="C34" i="22"/>
  <c r="C33" i="22"/>
  <c r="E32" i="22"/>
  <c r="C32" i="22"/>
  <c r="E31" i="22"/>
  <c r="C31" i="22"/>
  <c r="C30" i="22"/>
  <c r="H26" i="22"/>
  <c r="G26" i="22"/>
  <c r="H25" i="22"/>
  <c r="G25" i="22"/>
  <c r="J24" i="22"/>
  <c r="I24" i="22"/>
  <c r="H24" i="22"/>
  <c r="G24" i="22"/>
  <c r="G21" i="22"/>
  <c r="G20" i="22"/>
  <c r="I19" i="22"/>
  <c r="G19" i="22"/>
  <c r="I18" i="22"/>
  <c r="G18" i="22"/>
  <c r="G17" i="22"/>
  <c r="C25" i="22"/>
  <c r="B25" i="22"/>
  <c r="E24" i="22"/>
  <c r="D24" i="22"/>
  <c r="C24" i="22"/>
  <c r="B24" i="22"/>
  <c r="B21" i="22"/>
  <c r="B20" i="22"/>
  <c r="D19" i="22"/>
  <c r="B19" i="22"/>
  <c r="D18" i="22"/>
  <c r="B18" i="22"/>
  <c r="B17" i="22"/>
  <c r="H228" i="15"/>
  <c r="I228" i="15" s="1"/>
  <c r="I229" i="15" s="1"/>
  <c r="F228" i="15"/>
  <c r="G228" i="15" s="1"/>
  <c r="G229" i="15" s="1"/>
  <c r="G226" i="15"/>
  <c r="C420" i="15"/>
  <c r="H209" i="15"/>
  <c r="I209" i="15" s="1"/>
  <c r="I210" i="15" s="1"/>
  <c r="I215" i="15" s="1"/>
  <c r="J215" i="15" s="1"/>
  <c r="F209" i="15"/>
  <c r="G209" i="15" s="1"/>
  <c r="G210" i="15" s="1"/>
  <c r="G207" i="15"/>
  <c r="G216" i="15"/>
  <c r="H190" i="15"/>
  <c r="I190" i="15" s="1"/>
  <c r="F190" i="15"/>
  <c r="G190" i="15" s="1"/>
  <c r="H189" i="15"/>
  <c r="I189" i="15" s="1"/>
  <c r="F189" i="15"/>
  <c r="G189" i="15" s="1"/>
  <c r="G187" i="15"/>
  <c r="G197" i="15"/>
  <c r="H170" i="15"/>
  <c r="I170" i="15" s="1"/>
  <c r="F170" i="15"/>
  <c r="G170" i="15" s="1"/>
  <c r="H169" i="15"/>
  <c r="I169" i="15" s="1"/>
  <c r="F169" i="15"/>
  <c r="G169" i="15" s="1"/>
  <c r="H168" i="15"/>
  <c r="I168" i="15" s="1"/>
  <c r="F168" i="15"/>
  <c r="G168" i="15" s="1"/>
  <c r="H167" i="15"/>
  <c r="I167" i="15" s="1"/>
  <c r="F167" i="15"/>
  <c r="G167" i="15" s="1"/>
  <c r="G165" i="15"/>
  <c r="G177" i="15"/>
  <c r="I232" i="15" l="1"/>
  <c r="J232" i="15" s="1"/>
  <c r="G232" i="15"/>
  <c r="H232" i="15" s="1"/>
  <c r="F232" i="15"/>
  <c r="G234" i="15"/>
  <c r="H234" i="15" s="1"/>
  <c r="I234" i="15"/>
  <c r="J234" i="15" s="1"/>
  <c r="F234" i="15"/>
  <c r="I191" i="15"/>
  <c r="I196" i="15" s="1"/>
  <c r="J196" i="15" s="1"/>
  <c r="G213" i="15"/>
  <c r="H213" i="15" s="1"/>
  <c r="G191" i="15"/>
  <c r="G194" i="15" s="1"/>
  <c r="H194" i="15" s="1"/>
  <c r="F215" i="15"/>
  <c r="I213" i="15"/>
  <c r="J213" i="15" s="1"/>
  <c r="F213" i="15"/>
  <c r="G215" i="15"/>
  <c r="H215" i="15" s="1"/>
  <c r="G171" i="15"/>
  <c r="I174" i="15" s="1"/>
  <c r="J174" i="15" s="1"/>
  <c r="I171" i="15"/>
  <c r="F176" i="15" s="1"/>
  <c r="H480" i="15"/>
  <c r="I480" i="15" s="1"/>
  <c r="I481" i="15" s="1"/>
  <c r="F480" i="15"/>
  <c r="G480" i="15" s="1"/>
  <c r="G481" i="15" s="1"/>
  <c r="G478" i="15"/>
  <c r="H461" i="15"/>
  <c r="I461" i="15" s="1"/>
  <c r="F461" i="15"/>
  <c r="G461" i="15" s="1"/>
  <c r="H460" i="15"/>
  <c r="I460" i="15" s="1"/>
  <c r="F460" i="15"/>
  <c r="G460" i="15" s="1"/>
  <c r="G458" i="15"/>
  <c r="G468" i="15"/>
  <c r="C324" i="15"/>
  <c r="D318" i="15"/>
  <c r="C318" i="15"/>
  <c r="B318" i="15"/>
  <c r="A318" i="15"/>
  <c r="H300" i="15"/>
  <c r="I300" i="15" s="1"/>
  <c r="F300" i="15"/>
  <c r="G300" i="15" s="1"/>
  <c r="H299" i="15"/>
  <c r="I299" i="15" s="1"/>
  <c r="F299" i="15"/>
  <c r="G299" i="15" s="1"/>
  <c r="G297" i="15"/>
  <c r="G307" i="15"/>
  <c r="H148" i="15"/>
  <c r="I148" i="15" s="1"/>
  <c r="I149" i="15" s="1"/>
  <c r="F148" i="15"/>
  <c r="G148" i="15" s="1"/>
  <c r="G149" i="15" s="1"/>
  <c r="F152" i="15" s="1"/>
  <c r="G146" i="15"/>
  <c r="G155" i="15"/>
  <c r="G196" i="15" l="1"/>
  <c r="H196" i="15" s="1"/>
  <c r="F196" i="15"/>
  <c r="K232" i="15"/>
  <c r="K234" i="15"/>
  <c r="F194" i="15"/>
  <c r="I194" i="15"/>
  <c r="J194" i="15" s="1"/>
  <c r="F174" i="15"/>
  <c r="I301" i="15"/>
  <c r="I306" i="15" s="1"/>
  <c r="J306" i="15" s="1"/>
  <c r="G488" i="15"/>
  <c r="H488" i="15" s="1"/>
  <c r="G174" i="15"/>
  <c r="H174" i="15" s="1"/>
  <c r="K213" i="15"/>
  <c r="K215" i="15"/>
  <c r="G176" i="15"/>
  <c r="H176" i="15" s="1"/>
  <c r="I176" i="15"/>
  <c r="J176" i="15" s="1"/>
  <c r="F485" i="15"/>
  <c r="I485" i="15"/>
  <c r="J485" i="15" s="1"/>
  <c r="G485" i="15"/>
  <c r="H485" i="15" s="1"/>
  <c r="I488" i="15"/>
  <c r="J488" i="15" s="1"/>
  <c r="F488" i="15"/>
  <c r="G462" i="15"/>
  <c r="G465" i="15" s="1"/>
  <c r="H465" i="15" s="1"/>
  <c r="I462" i="15"/>
  <c r="I467" i="15" s="1"/>
  <c r="J467" i="15" s="1"/>
  <c r="G301" i="15"/>
  <c r="G304" i="15" s="1"/>
  <c r="H304" i="15" s="1"/>
  <c r="G152" i="15"/>
  <c r="H152" i="15" s="1"/>
  <c r="I154" i="15"/>
  <c r="J154" i="15" s="1"/>
  <c r="F154" i="15"/>
  <c r="I152" i="15"/>
  <c r="J152" i="15" s="1"/>
  <c r="G154" i="15"/>
  <c r="H154" i="15" s="1"/>
  <c r="G267" i="15"/>
  <c r="H260" i="15"/>
  <c r="I260" i="15" s="1"/>
  <c r="F260" i="15"/>
  <c r="G260" i="15" s="1"/>
  <c r="H259" i="15"/>
  <c r="I259" i="15" s="1"/>
  <c r="F259" i="15"/>
  <c r="G259" i="15" s="1"/>
  <c r="G257" i="15"/>
  <c r="G137" i="15"/>
  <c r="H130" i="15"/>
  <c r="I130" i="15" s="1"/>
  <c r="F130" i="15"/>
  <c r="G130" i="15" s="1"/>
  <c r="H129" i="15"/>
  <c r="I129" i="15" s="1"/>
  <c r="F129" i="15"/>
  <c r="G129" i="15" s="1"/>
  <c r="G127" i="15"/>
  <c r="G105" i="15"/>
  <c r="H98" i="15"/>
  <c r="I98" i="15" s="1"/>
  <c r="F98" i="15"/>
  <c r="G98" i="15" s="1"/>
  <c r="F97" i="15"/>
  <c r="G97" i="15" s="1"/>
  <c r="F96" i="15"/>
  <c r="G96" i="15" s="1"/>
  <c r="H97" i="15"/>
  <c r="I97" i="15" s="1"/>
  <c r="H96" i="15"/>
  <c r="I96" i="15" s="1"/>
  <c r="G94" i="15"/>
  <c r="G64" i="15"/>
  <c r="H57" i="15"/>
  <c r="I57" i="15" s="1"/>
  <c r="I58" i="15" s="1"/>
  <c r="F57" i="15"/>
  <c r="G57" i="15" s="1"/>
  <c r="G58" i="15" s="1"/>
  <c r="F61" i="15" s="1"/>
  <c r="G55" i="15"/>
  <c r="G45" i="15"/>
  <c r="H38" i="15"/>
  <c r="I38" i="15" s="1"/>
  <c r="I39" i="15" s="1"/>
  <c r="F38" i="15"/>
  <c r="G38" i="15" s="1"/>
  <c r="G39" i="15" s="1"/>
  <c r="F42" i="15" s="1"/>
  <c r="G36" i="15"/>
  <c r="F20" i="15"/>
  <c r="G84" i="15"/>
  <c r="K196" i="15" l="1"/>
  <c r="F304" i="15"/>
  <c r="G235" i="15"/>
  <c r="K194" i="15"/>
  <c r="G198" i="15" s="1"/>
  <c r="K174" i="15"/>
  <c r="G306" i="15"/>
  <c r="H306" i="15" s="1"/>
  <c r="F467" i="15"/>
  <c r="F306" i="15"/>
  <c r="G217" i="15"/>
  <c r="I99" i="15"/>
  <c r="G467" i="15"/>
  <c r="H467" i="15" s="1"/>
  <c r="K488" i="15"/>
  <c r="K485" i="15"/>
  <c r="I465" i="15"/>
  <c r="J465" i="15" s="1"/>
  <c r="I304" i="15"/>
  <c r="J304" i="15" s="1"/>
  <c r="F465" i="15"/>
  <c r="G99" i="15"/>
  <c r="F102" i="15" s="1"/>
  <c r="K152" i="15"/>
  <c r="K154" i="15"/>
  <c r="I261" i="15"/>
  <c r="G266" i="15" s="1"/>
  <c r="H266" i="15" s="1"/>
  <c r="I131" i="15"/>
  <c r="F136" i="15" s="1"/>
  <c r="G261" i="15"/>
  <c r="I264" i="15" s="1"/>
  <c r="J264" i="15" s="1"/>
  <c r="G131" i="15"/>
  <c r="G44" i="15"/>
  <c r="H44" i="15" s="1"/>
  <c r="G61" i="15"/>
  <c r="H61" i="15" s="1"/>
  <c r="I61" i="15"/>
  <c r="J61" i="15" s="1"/>
  <c r="I63" i="15"/>
  <c r="J63" i="15" s="1"/>
  <c r="F63" i="15"/>
  <c r="G63" i="15"/>
  <c r="H63" i="15" s="1"/>
  <c r="G42" i="15"/>
  <c r="H42" i="15" s="1"/>
  <c r="I42" i="15"/>
  <c r="J42" i="15" s="1"/>
  <c r="I44" i="15"/>
  <c r="J44" i="15" s="1"/>
  <c r="F44" i="15"/>
  <c r="G27" i="15"/>
  <c r="H279" i="15"/>
  <c r="I279" i="15" s="1"/>
  <c r="I280" i="15" s="1"/>
  <c r="F279" i="15"/>
  <c r="G279" i="15" s="1"/>
  <c r="G280" i="15" s="1"/>
  <c r="G277" i="15"/>
  <c r="B279" i="15"/>
  <c r="A279" i="15"/>
  <c r="C273" i="15"/>
  <c r="K304" i="15" l="1"/>
  <c r="K306" i="15"/>
  <c r="K467" i="15"/>
  <c r="I266" i="15"/>
  <c r="J266" i="15" s="1"/>
  <c r="G489" i="15"/>
  <c r="K465" i="15"/>
  <c r="F264" i="15"/>
  <c r="G308" i="15"/>
  <c r="G156" i="15"/>
  <c r="G136" i="15"/>
  <c r="H136" i="15" s="1"/>
  <c r="I136" i="15"/>
  <c r="J136" i="15" s="1"/>
  <c r="F266" i="15"/>
  <c r="K266" i="15" s="1"/>
  <c r="G264" i="15"/>
  <c r="H264" i="15" s="1"/>
  <c r="G134" i="15"/>
  <c r="H134" i="15" s="1"/>
  <c r="F134" i="15"/>
  <c r="I134" i="15"/>
  <c r="J134" i="15" s="1"/>
  <c r="G102" i="15"/>
  <c r="H102" i="15" s="1"/>
  <c r="I102" i="15"/>
  <c r="J102" i="15" s="1"/>
  <c r="K44" i="15"/>
  <c r="K61" i="15"/>
  <c r="K63" i="15"/>
  <c r="K42" i="15"/>
  <c r="F284" i="15"/>
  <c r="G284" i="15"/>
  <c r="H284" i="15" s="1"/>
  <c r="F287" i="15"/>
  <c r="I287" i="15"/>
  <c r="J287" i="15" s="1"/>
  <c r="I284" i="15"/>
  <c r="J284" i="15" s="1"/>
  <c r="G287" i="15"/>
  <c r="H287" i="15" s="1"/>
  <c r="H77" i="15"/>
  <c r="I77" i="15" s="1"/>
  <c r="F77" i="15"/>
  <c r="G77" i="15" s="1"/>
  <c r="H76" i="15"/>
  <c r="I76" i="15" s="1"/>
  <c r="F76" i="15"/>
  <c r="G76" i="15" s="1"/>
  <c r="G74" i="15"/>
  <c r="H20" i="15"/>
  <c r="I20" i="15" s="1"/>
  <c r="I21" i="15" s="1"/>
  <c r="F26" i="15" s="1"/>
  <c r="G20" i="15"/>
  <c r="G21" i="15" s="1"/>
  <c r="F24" i="15" s="1"/>
  <c r="G18" i="15"/>
  <c r="H402" i="15"/>
  <c r="I402" i="15" s="1"/>
  <c r="I403" i="15" s="1"/>
  <c r="F402" i="15"/>
  <c r="G402" i="15" s="1"/>
  <c r="G403" i="15" s="1"/>
  <c r="G400" i="15"/>
  <c r="H422" i="15"/>
  <c r="I422" i="15" s="1"/>
  <c r="I423" i="15" s="1"/>
  <c r="F422" i="15"/>
  <c r="G422" i="15" s="1"/>
  <c r="G423" i="15" s="1"/>
  <c r="G420" i="15"/>
  <c r="H442" i="15"/>
  <c r="F442" i="15"/>
  <c r="G442" i="15" s="1"/>
  <c r="G443" i="15" s="1"/>
  <c r="G440" i="15"/>
  <c r="I31" i="15"/>
  <c r="Y3" i="8"/>
  <c r="Q3" i="8"/>
  <c r="R38" i="15"/>
  <c r="D95" i="15"/>
  <c r="C95" i="15"/>
  <c r="A4" i="16"/>
  <c r="A3" i="16"/>
  <c r="A2" i="16"/>
  <c r="A1" i="16"/>
  <c r="B560" i="15"/>
  <c r="A560" i="15"/>
  <c r="B559" i="15"/>
  <c r="A559" i="15"/>
  <c r="D558" i="15"/>
  <c r="C558" i="15"/>
  <c r="B558" i="15"/>
  <c r="A558" i="15"/>
  <c r="A555" i="15"/>
  <c r="A554" i="15"/>
  <c r="C553" i="15"/>
  <c r="A553" i="15"/>
  <c r="C552" i="15"/>
  <c r="A552" i="15"/>
  <c r="A551" i="15"/>
  <c r="B548" i="15"/>
  <c r="A548" i="15"/>
  <c r="B547" i="15"/>
  <c r="A547" i="15"/>
  <c r="D546" i="15"/>
  <c r="C546" i="15"/>
  <c r="B546" i="15"/>
  <c r="A546" i="15"/>
  <c r="A543" i="15"/>
  <c r="A542" i="15"/>
  <c r="C541" i="15"/>
  <c r="A541" i="15"/>
  <c r="C540" i="15"/>
  <c r="A540" i="15"/>
  <c r="A539" i="15"/>
  <c r="B536" i="15"/>
  <c r="A536" i="15"/>
  <c r="B535" i="15"/>
  <c r="A535" i="15"/>
  <c r="D534" i="15"/>
  <c r="C534" i="15"/>
  <c r="B534" i="15"/>
  <c r="A534" i="15"/>
  <c r="A531" i="15"/>
  <c r="A530" i="15"/>
  <c r="C529" i="15"/>
  <c r="A529" i="15"/>
  <c r="C528" i="15"/>
  <c r="A528" i="15"/>
  <c r="A527" i="15"/>
  <c r="B524" i="15"/>
  <c r="A524" i="15"/>
  <c r="B523" i="15"/>
  <c r="A523" i="15"/>
  <c r="D522" i="15"/>
  <c r="C522" i="15"/>
  <c r="B522" i="15"/>
  <c r="A522" i="15"/>
  <c r="A519" i="15"/>
  <c r="A518" i="15"/>
  <c r="C517" i="15"/>
  <c r="A517" i="15"/>
  <c r="C516" i="15"/>
  <c r="A516" i="15"/>
  <c r="A515" i="15"/>
  <c r="B512" i="15"/>
  <c r="A512" i="15"/>
  <c r="D511" i="15"/>
  <c r="C511" i="15"/>
  <c r="B511" i="15"/>
  <c r="A511" i="15"/>
  <c r="A508" i="15"/>
  <c r="A507" i="15"/>
  <c r="C506" i="15"/>
  <c r="A506" i="15"/>
  <c r="C505" i="15"/>
  <c r="A505" i="15"/>
  <c r="A504" i="15"/>
  <c r="A501" i="15"/>
  <c r="B500" i="15"/>
  <c r="A500" i="15"/>
  <c r="D499" i="15"/>
  <c r="C499" i="15"/>
  <c r="B499" i="15"/>
  <c r="A499" i="15"/>
  <c r="A496" i="15"/>
  <c r="A495" i="15"/>
  <c r="C494" i="15"/>
  <c r="A494" i="15"/>
  <c r="C493" i="15"/>
  <c r="A493" i="15"/>
  <c r="A492" i="15"/>
  <c r="B480" i="15"/>
  <c r="A480" i="15"/>
  <c r="D479" i="15"/>
  <c r="C479" i="15"/>
  <c r="B479" i="15"/>
  <c r="A479" i="15"/>
  <c r="A476" i="15"/>
  <c r="A475" i="15"/>
  <c r="C474" i="15"/>
  <c r="A474" i="15"/>
  <c r="C473" i="15"/>
  <c r="A473" i="15"/>
  <c r="A472" i="15"/>
  <c r="B461" i="15"/>
  <c r="A461" i="15"/>
  <c r="B460" i="15"/>
  <c r="A460" i="15"/>
  <c r="D459" i="15"/>
  <c r="C459" i="15"/>
  <c r="B459" i="15"/>
  <c r="A459" i="15"/>
  <c r="A456" i="15"/>
  <c r="A455" i="15"/>
  <c r="C454" i="15"/>
  <c r="A454" i="15"/>
  <c r="C453" i="15"/>
  <c r="A453" i="15"/>
  <c r="A452" i="15"/>
  <c r="B442" i="15"/>
  <c r="A442" i="15"/>
  <c r="D441" i="15"/>
  <c r="C441" i="15"/>
  <c r="B441" i="15"/>
  <c r="A441" i="15"/>
  <c r="A438" i="15"/>
  <c r="A437" i="15"/>
  <c r="C436" i="15"/>
  <c r="A436" i="15"/>
  <c r="C435" i="15"/>
  <c r="A435" i="15"/>
  <c r="A434" i="15"/>
  <c r="B422" i="15"/>
  <c r="A422" i="15"/>
  <c r="D421" i="15"/>
  <c r="C421" i="15"/>
  <c r="B421" i="15"/>
  <c r="A421" i="15"/>
  <c r="A418" i="15"/>
  <c r="A417" i="15"/>
  <c r="C416" i="15"/>
  <c r="A416" i="15"/>
  <c r="C415" i="15"/>
  <c r="A415" i="15"/>
  <c r="A414" i="15"/>
  <c r="B402" i="15"/>
  <c r="A402" i="15"/>
  <c r="D401" i="15"/>
  <c r="C401" i="15"/>
  <c r="B401" i="15"/>
  <c r="A401" i="15"/>
  <c r="A398" i="15"/>
  <c r="A397" i="15"/>
  <c r="C396" i="15"/>
  <c r="A396" i="15"/>
  <c r="C395" i="15"/>
  <c r="A395" i="15"/>
  <c r="A394" i="15"/>
  <c r="B391" i="15"/>
  <c r="A391" i="15"/>
  <c r="D390" i="15"/>
  <c r="C390" i="15"/>
  <c r="B390" i="15"/>
  <c r="A390" i="15"/>
  <c r="A387" i="15"/>
  <c r="A386" i="15"/>
  <c r="C385" i="15"/>
  <c r="A385" i="15"/>
  <c r="C384" i="15"/>
  <c r="A384" i="15"/>
  <c r="A383" i="15"/>
  <c r="B380" i="15"/>
  <c r="A380" i="15"/>
  <c r="B379" i="15"/>
  <c r="A379" i="15"/>
  <c r="D378" i="15"/>
  <c r="C378" i="15"/>
  <c r="B378" i="15"/>
  <c r="A378" i="15"/>
  <c r="A375" i="15"/>
  <c r="A374" i="15"/>
  <c r="C373" i="15"/>
  <c r="A373" i="15"/>
  <c r="C372" i="15"/>
  <c r="A372" i="15"/>
  <c r="A371" i="15"/>
  <c r="B368" i="15"/>
  <c r="A368" i="15"/>
  <c r="B367" i="15"/>
  <c r="A367" i="15"/>
  <c r="D366" i="15"/>
  <c r="C366" i="15"/>
  <c r="B366" i="15"/>
  <c r="A366" i="15"/>
  <c r="A363" i="15"/>
  <c r="A362" i="15"/>
  <c r="C361" i="15"/>
  <c r="A361" i="15"/>
  <c r="C360" i="15"/>
  <c r="A360" i="15"/>
  <c r="A359" i="15"/>
  <c r="B356" i="15"/>
  <c r="A356" i="15"/>
  <c r="B355" i="15"/>
  <c r="A355" i="15"/>
  <c r="B354" i="15"/>
  <c r="A354" i="15"/>
  <c r="B353" i="15"/>
  <c r="A353" i="15"/>
  <c r="D352" i="15"/>
  <c r="C352" i="15"/>
  <c r="B352" i="15"/>
  <c r="A352" i="15"/>
  <c r="A349" i="15"/>
  <c r="A348" i="15"/>
  <c r="C347" i="15"/>
  <c r="A347" i="15"/>
  <c r="C346" i="15"/>
  <c r="A346" i="15"/>
  <c r="A345" i="15"/>
  <c r="B342" i="15"/>
  <c r="A342" i="15"/>
  <c r="B341" i="15"/>
  <c r="A341" i="15"/>
  <c r="D340" i="15"/>
  <c r="C340" i="15"/>
  <c r="B340" i="15"/>
  <c r="A340" i="15"/>
  <c r="A337" i="15"/>
  <c r="A336" i="15"/>
  <c r="C335" i="15"/>
  <c r="A335" i="15"/>
  <c r="C334" i="15"/>
  <c r="A334" i="15"/>
  <c r="A333" i="15"/>
  <c r="D329" i="15"/>
  <c r="C329" i="15"/>
  <c r="B329" i="15"/>
  <c r="A329" i="15"/>
  <c r="A326" i="15"/>
  <c r="A325" i="15"/>
  <c r="A324" i="15"/>
  <c r="C323" i="15"/>
  <c r="A323" i="15"/>
  <c r="A322" i="15"/>
  <c r="A315" i="15"/>
  <c r="A314" i="15"/>
  <c r="C313" i="15"/>
  <c r="A313" i="15"/>
  <c r="C312" i="15"/>
  <c r="A312" i="15"/>
  <c r="A311" i="15"/>
  <c r="B300" i="15"/>
  <c r="A300" i="15"/>
  <c r="B299" i="15"/>
  <c r="A299" i="15"/>
  <c r="D298" i="15"/>
  <c r="C298" i="15"/>
  <c r="B298" i="15"/>
  <c r="A298" i="15"/>
  <c r="A295" i="15"/>
  <c r="A294" i="15"/>
  <c r="C293" i="15"/>
  <c r="A293" i="15"/>
  <c r="C292" i="15"/>
  <c r="A292" i="15"/>
  <c r="A291" i="15"/>
  <c r="D278" i="15"/>
  <c r="C278" i="15"/>
  <c r="B278" i="15"/>
  <c r="A278" i="15"/>
  <c r="A275" i="15"/>
  <c r="A274" i="15"/>
  <c r="A273" i="15"/>
  <c r="C272" i="15"/>
  <c r="A272" i="15"/>
  <c r="A271" i="15"/>
  <c r="B260" i="15"/>
  <c r="A260" i="15"/>
  <c r="B259" i="15"/>
  <c r="A259" i="15"/>
  <c r="D258" i="15"/>
  <c r="C258" i="15"/>
  <c r="B258" i="15"/>
  <c r="A258" i="15"/>
  <c r="A255" i="15"/>
  <c r="A254" i="15"/>
  <c r="C253" i="15"/>
  <c r="A253" i="15"/>
  <c r="C252" i="15"/>
  <c r="A252" i="15"/>
  <c r="A251" i="15"/>
  <c r="B248" i="15"/>
  <c r="A248" i="15"/>
  <c r="B247" i="15"/>
  <c r="A247" i="15"/>
  <c r="B246" i="15"/>
  <c r="A246" i="15"/>
  <c r="D245" i="15"/>
  <c r="C245" i="15"/>
  <c r="B245" i="15"/>
  <c r="A245" i="15"/>
  <c r="A242" i="15"/>
  <c r="A241" i="15"/>
  <c r="C240" i="15"/>
  <c r="A240" i="15"/>
  <c r="C239" i="15"/>
  <c r="A239" i="15"/>
  <c r="A238" i="15"/>
  <c r="B209" i="15"/>
  <c r="A209" i="15"/>
  <c r="D208" i="15"/>
  <c r="C208" i="15"/>
  <c r="B208" i="15"/>
  <c r="A208" i="15"/>
  <c r="A205" i="15"/>
  <c r="A204" i="15"/>
  <c r="C203" i="15"/>
  <c r="A203" i="15"/>
  <c r="C202" i="15"/>
  <c r="A202" i="15"/>
  <c r="A201" i="15"/>
  <c r="B170" i="15"/>
  <c r="A170" i="15"/>
  <c r="B169" i="15"/>
  <c r="A169" i="15"/>
  <c r="B168" i="15"/>
  <c r="A168" i="15"/>
  <c r="B167" i="15"/>
  <c r="A167" i="15"/>
  <c r="D166" i="15"/>
  <c r="C166" i="15"/>
  <c r="B166" i="15"/>
  <c r="A166" i="15"/>
  <c r="A163" i="15"/>
  <c r="A162" i="15"/>
  <c r="C161" i="15"/>
  <c r="A161" i="15"/>
  <c r="C160" i="15"/>
  <c r="A160" i="15"/>
  <c r="A159" i="15"/>
  <c r="B228" i="15"/>
  <c r="A228" i="15"/>
  <c r="D227" i="15"/>
  <c r="C227" i="15"/>
  <c r="B227" i="15"/>
  <c r="A227" i="15"/>
  <c r="A224" i="15"/>
  <c r="A223" i="15"/>
  <c r="C222" i="15"/>
  <c r="A222" i="15"/>
  <c r="C221" i="15"/>
  <c r="A221" i="15"/>
  <c r="A220" i="15"/>
  <c r="B190" i="15"/>
  <c r="A190" i="15"/>
  <c r="B189" i="15"/>
  <c r="A189" i="15"/>
  <c r="D188" i="15"/>
  <c r="C188" i="15"/>
  <c r="B188" i="15"/>
  <c r="A188" i="15"/>
  <c r="A185" i="15"/>
  <c r="A184" i="15"/>
  <c r="C183" i="15"/>
  <c r="A183" i="15"/>
  <c r="C182" i="15"/>
  <c r="A182" i="15"/>
  <c r="A181" i="15"/>
  <c r="B148" i="15"/>
  <c r="A148" i="15"/>
  <c r="D147" i="15"/>
  <c r="C147" i="15"/>
  <c r="B147" i="15"/>
  <c r="A147" i="15"/>
  <c r="A144" i="15"/>
  <c r="A143" i="15"/>
  <c r="C142" i="15"/>
  <c r="A142" i="15"/>
  <c r="C141" i="15"/>
  <c r="A141" i="15"/>
  <c r="A140" i="15"/>
  <c r="B130" i="15"/>
  <c r="A130" i="15"/>
  <c r="B129" i="15"/>
  <c r="A129" i="15"/>
  <c r="D128" i="15"/>
  <c r="C128" i="15"/>
  <c r="B128" i="15"/>
  <c r="A128" i="15"/>
  <c r="A125" i="15"/>
  <c r="A124" i="15"/>
  <c r="C123" i="15"/>
  <c r="A123" i="15"/>
  <c r="C122" i="15"/>
  <c r="A122" i="15"/>
  <c r="A121" i="15"/>
  <c r="B118" i="15"/>
  <c r="A118" i="15"/>
  <c r="D117" i="15"/>
  <c r="C117" i="15"/>
  <c r="B117" i="15"/>
  <c r="A117" i="15"/>
  <c r="A114" i="15"/>
  <c r="A113" i="15"/>
  <c r="C112" i="15"/>
  <c r="A112" i="15"/>
  <c r="C111" i="15"/>
  <c r="A111" i="15"/>
  <c r="A110" i="15"/>
  <c r="B98" i="15"/>
  <c r="A98" i="15"/>
  <c r="B97" i="15"/>
  <c r="A97" i="15"/>
  <c r="B96" i="15"/>
  <c r="A96" i="15"/>
  <c r="B95" i="15"/>
  <c r="A95" i="15"/>
  <c r="A92" i="15"/>
  <c r="A91" i="15"/>
  <c r="C90" i="15"/>
  <c r="A90" i="15"/>
  <c r="C89" i="15"/>
  <c r="A89" i="15"/>
  <c r="A88" i="15"/>
  <c r="B77" i="15"/>
  <c r="A77" i="15"/>
  <c r="B76" i="15"/>
  <c r="A76" i="15"/>
  <c r="D75" i="15"/>
  <c r="C75" i="15"/>
  <c r="B75" i="15"/>
  <c r="A75" i="15"/>
  <c r="A72" i="15"/>
  <c r="A71" i="15"/>
  <c r="C70" i="15"/>
  <c r="A70" i="15"/>
  <c r="C69" i="15"/>
  <c r="A69" i="15"/>
  <c r="A68" i="15"/>
  <c r="B57" i="15"/>
  <c r="A57" i="15"/>
  <c r="D56" i="15"/>
  <c r="C56" i="15"/>
  <c r="B56" i="15"/>
  <c r="A56" i="15"/>
  <c r="A53" i="15"/>
  <c r="A52" i="15"/>
  <c r="C51" i="15"/>
  <c r="A51" i="15"/>
  <c r="C50" i="15"/>
  <c r="A50" i="15"/>
  <c r="A49" i="15"/>
  <c r="B38" i="15"/>
  <c r="A38" i="15"/>
  <c r="D37" i="15"/>
  <c r="C37" i="15"/>
  <c r="B37" i="15"/>
  <c r="A37" i="15"/>
  <c r="A34" i="15"/>
  <c r="A33" i="15"/>
  <c r="C32" i="15"/>
  <c r="A32" i="15"/>
  <c r="C31" i="15"/>
  <c r="A31" i="15"/>
  <c r="A30" i="15"/>
  <c r="B20" i="15"/>
  <c r="A20" i="15"/>
  <c r="D19" i="15"/>
  <c r="C19" i="15"/>
  <c r="B19" i="15"/>
  <c r="A19" i="15"/>
  <c r="A16" i="15"/>
  <c r="A15" i="15"/>
  <c r="C14" i="15"/>
  <c r="A14" i="15"/>
  <c r="C13" i="15"/>
  <c r="A13" i="15"/>
  <c r="A12" i="15"/>
  <c r="D8" i="15"/>
  <c r="C8" i="15"/>
  <c r="B8" i="15"/>
  <c r="A8" i="15"/>
  <c r="A5" i="15"/>
  <c r="A4" i="15"/>
  <c r="A3" i="15"/>
  <c r="C2" i="15"/>
  <c r="A2" i="15"/>
  <c r="A1" i="15"/>
  <c r="G469" i="15" l="1"/>
  <c r="K176" i="15"/>
  <c r="K264" i="15"/>
  <c r="G268" i="15" s="1"/>
  <c r="K136" i="15"/>
  <c r="K134" i="15"/>
  <c r="K102" i="15"/>
  <c r="G46" i="15"/>
  <c r="G65" i="15"/>
  <c r="K284" i="15"/>
  <c r="K287" i="15"/>
  <c r="G410" i="15"/>
  <c r="H410" i="15" s="1"/>
  <c r="G78" i="15"/>
  <c r="G446" i="15"/>
  <c r="H446" i="15" s="1"/>
  <c r="F446" i="15"/>
  <c r="I446" i="15"/>
  <c r="J446" i="15" s="1"/>
  <c r="I78" i="15"/>
  <c r="F83" i="15" s="1"/>
  <c r="I442" i="15"/>
  <c r="I443" i="15" s="1"/>
  <c r="G448" i="15" s="1"/>
  <c r="H448" i="15" s="1"/>
  <c r="G430" i="15"/>
  <c r="H430" i="15" s="1"/>
  <c r="G26" i="15"/>
  <c r="H26" i="15" s="1"/>
  <c r="I24" i="15"/>
  <c r="J24" i="15" s="1"/>
  <c r="G24" i="15"/>
  <c r="H24" i="15" s="1"/>
  <c r="I26" i="15"/>
  <c r="J26" i="15" s="1"/>
  <c r="F407" i="15"/>
  <c r="I407" i="15"/>
  <c r="J407" i="15" s="1"/>
  <c r="G407" i="15"/>
  <c r="H407" i="15" s="1"/>
  <c r="F410" i="15"/>
  <c r="I410" i="15"/>
  <c r="J410" i="15" s="1"/>
  <c r="F427" i="15"/>
  <c r="G427" i="15"/>
  <c r="H427" i="15" s="1"/>
  <c r="I427" i="15"/>
  <c r="J427" i="15" s="1"/>
  <c r="F430" i="15"/>
  <c r="I430" i="15"/>
  <c r="J430" i="15" s="1"/>
  <c r="AB11" i="13"/>
  <c r="O11" i="13"/>
  <c r="AG5" i="13"/>
  <c r="T5" i="13"/>
  <c r="AG4" i="13"/>
  <c r="T4" i="13"/>
  <c r="G4" i="13"/>
  <c r="AA11" i="13"/>
  <c r="AH10" i="13"/>
  <c r="AF10" i="13"/>
  <c r="AC10" i="13"/>
  <c r="AJ9" i="13"/>
  <c r="AI9" i="13"/>
  <c r="AH9" i="13"/>
  <c r="AG9" i="13"/>
  <c r="AF9" i="13"/>
  <c r="AE9" i="13"/>
  <c r="AD9" i="13"/>
  <c r="AC9" i="13"/>
  <c r="AB9" i="13"/>
  <c r="AA9" i="13"/>
  <c r="AE7" i="13"/>
  <c r="AE6" i="13"/>
  <c r="AE5" i="13"/>
  <c r="AE4" i="13"/>
  <c r="AE3" i="13"/>
  <c r="N11" i="13"/>
  <c r="U10" i="13"/>
  <c r="S10" i="13"/>
  <c r="P10" i="13"/>
  <c r="H10" i="13"/>
  <c r="F10" i="13"/>
  <c r="C10" i="13"/>
  <c r="W9" i="13"/>
  <c r="V9" i="13"/>
  <c r="U9" i="13"/>
  <c r="T9" i="13"/>
  <c r="S9" i="13"/>
  <c r="R9" i="13"/>
  <c r="Q9" i="13"/>
  <c r="P9" i="13"/>
  <c r="O9" i="13"/>
  <c r="N9" i="13"/>
  <c r="J9" i="13"/>
  <c r="I9" i="13"/>
  <c r="H9" i="13"/>
  <c r="G9" i="13"/>
  <c r="F9" i="13"/>
  <c r="E9" i="13"/>
  <c r="D9" i="13"/>
  <c r="C9" i="13"/>
  <c r="B9" i="13"/>
  <c r="A9" i="13"/>
  <c r="R7" i="13"/>
  <c r="E7" i="13"/>
  <c r="R6" i="13"/>
  <c r="E6" i="13"/>
  <c r="R5" i="13"/>
  <c r="E5" i="13"/>
  <c r="R4" i="13"/>
  <c r="E4" i="13"/>
  <c r="R3" i="13"/>
  <c r="E3" i="13"/>
  <c r="W58" i="12"/>
  <c r="J57" i="12"/>
  <c r="B57" i="12"/>
  <c r="J43" i="12"/>
  <c r="W11" i="12"/>
  <c r="J11" i="12"/>
  <c r="E11" i="12"/>
  <c r="AB44" i="12"/>
  <c r="AA44" i="12"/>
  <c r="N44" i="12"/>
  <c r="AB57" i="12"/>
  <c r="AB58" i="12"/>
  <c r="AA58" i="12"/>
  <c r="AA57" i="12"/>
  <c r="O58" i="12"/>
  <c r="N58" i="12"/>
  <c r="O57" i="12"/>
  <c r="N57" i="12"/>
  <c r="O44" i="12"/>
  <c r="B44" i="12"/>
  <c r="A44" i="12"/>
  <c r="AB27" i="12"/>
  <c r="N28" i="12"/>
  <c r="O28" i="12"/>
  <c r="O27" i="12"/>
  <c r="N27" i="12"/>
  <c r="O11" i="12"/>
  <c r="N11" i="12"/>
  <c r="G51" i="12"/>
  <c r="AG51" i="12"/>
  <c r="AG37" i="12"/>
  <c r="T21" i="12"/>
  <c r="AG50" i="12"/>
  <c r="AG36" i="12"/>
  <c r="AG20" i="12"/>
  <c r="T50" i="12"/>
  <c r="T36" i="12"/>
  <c r="T20" i="12"/>
  <c r="G50" i="12"/>
  <c r="G36" i="12"/>
  <c r="G20" i="12"/>
  <c r="T4" i="12"/>
  <c r="G4" i="12"/>
  <c r="A57" i="12"/>
  <c r="AH56" i="12"/>
  <c r="AF56" i="12"/>
  <c r="AC56" i="12"/>
  <c r="U56" i="12"/>
  <c r="S56" i="12"/>
  <c r="P56" i="12"/>
  <c r="H56" i="12"/>
  <c r="F56" i="12"/>
  <c r="C56" i="12"/>
  <c r="AJ55" i="12"/>
  <c r="AI55" i="12"/>
  <c r="AH55" i="12"/>
  <c r="AG55" i="12"/>
  <c r="AF55" i="12"/>
  <c r="AE55" i="12"/>
  <c r="AD55" i="12"/>
  <c r="AC55" i="12"/>
  <c r="AB55" i="12"/>
  <c r="AA55" i="12"/>
  <c r="W55" i="12"/>
  <c r="V55" i="12"/>
  <c r="U55" i="12"/>
  <c r="T55" i="12"/>
  <c r="S55" i="12"/>
  <c r="R55" i="12"/>
  <c r="Q55" i="12"/>
  <c r="P55" i="12"/>
  <c r="O55" i="12"/>
  <c r="N55" i="12"/>
  <c r="J55" i="12"/>
  <c r="I55" i="12"/>
  <c r="H55" i="12"/>
  <c r="G55" i="12"/>
  <c r="F55" i="12"/>
  <c r="E55" i="12"/>
  <c r="D55" i="12"/>
  <c r="C55" i="12"/>
  <c r="B55" i="12"/>
  <c r="A55" i="12"/>
  <c r="AE53" i="12"/>
  <c r="R53" i="12"/>
  <c r="E53" i="12"/>
  <c r="AE52" i="12"/>
  <c r="R52" i="12"/>
  <c r="E52" i="12"/>
  <c r="AE51" i="12"/>
  <c r="T51" i="12"/>
  <c r="R51" i="12"/>
  <c r="E51" i="12"/>
  <c r="AE50" i="12"/>
  <c r="R50" i="12"/>
  <c r="E50" i="12"/>
  <c r="AE49" i="12"/>
  <c r="R49" i="12"/>
  <c r="E49" i="12"/>
  <c r="AB43" i="12"/>
  <c r="AA43" i="12"/>
  <c r="O43" i="12"/>
  <c r="N43" i="12"/>
  <c r="B43" i="12"/>
  <c r="A43" i="12"/>
  <c r="AH42" i="12"/>
  <c r="AF42" i="12"/>
  <c r="AC42" i="12"/>
  <c r="U42" i="12"/>
  <c r="S42" i="12"/>
  <c r="P42" i="12"/>
  <c r="H42" i="12"/>
  <c r="F42" i="12"/>
  <c r="C42" i="12"/>
  <c r="AJ41" i="12"/>
  <c r="AI41" i="12"/>
  <c r="AH41" i="12"/>
  <c r="AG41" i="12"/>
  <c r="AF41" i="12"/>
  <c r="AE41" i="12"/>
  <c r="AD41" i="12"/>
  <c r="AC41" i="12"/>
  <c r="AB41" i="12"/>
  <c r="AA41" i="12"/>
  <c r="W41" i="12"/>
  <c r="V41" i="12"/>
  <c r="U41" i="12"/>
  <c r="T41" i="12"/>
  <c r="S41" i="12"/>
  <c r="R41" i="12"/>
  <c r="Q41" i="12"/>
  <c r="P41" i="12"/>
  <c r="O41" i="12"/>
  <c r="N41" i="12"/>
  <c r="J41" i="12"/>
  <c r="I41" i="12"/>
  <c r="H41" i="12"/>
  <c r="G41" i="12"/>
  <c r="F41" i="12"/>
  <c r="E41" i="12"/>
  <c r="D41" i="12"/>
  <c r="C41" i="12"/>
  <c r="B41" i="12"/>
  <c r="A41" i="12"/>
  <c r="AE39" i="12"/>
  <c r="R39" i="12"/>
  <c r="E39" i="12"/>
  <c r="AE38" i="12"/>
  <c r="R38" i="12"/>
  <c r="E38" i="12"/>
  <c r="AE37" i="12"/>
  <c r="T37" i="12"/>
  <c r="R37" i="12"/>
  <c r="G37" i="12"/>
  <c r="E37" i="12"/>
  <c r="AE36" i="12"/>
  <c r="R36" i="12"/>
  <c r="E36" i="12"/>
  <c r="AE35" i="12"/>
  <c r="R35" i="12"/>
  <c r="E35" i="12"/>
  <c r="AA27" i="12"/>
  <c r="B27" i="12"/>
  <c r="A27" i="12"/>
  <c r="AH26" i="12"/>
  <c r="AF26" i="12"/>
  <c r="AC26" i="12"/>
  <c r="U26" i="12"/>
  <c r="S26" i="12"/>
  <c r="P26" i="12"/>
  <c r="H26" i="12"/>
  <c r="F26" i="12"/>
  <c r="C26" i="12"/>
  <c r="AJ25" i="12"/>
  <c r="AI25" i="12"/>
  <c r="AH25" i="12"/>
  <c r="AG25" i="12"/>
  <c r="AF25" i="12"/>
  <c r="AE25" i="12"/>
  <c r="AD25" i="12"/>
  <c r="AC25" i="12"/>
  <c r="AB25" i="12"/>
  <c r="AA25" i="12"/>
  <c r="W25" i="12"/>
  <c r="V25" i="12"/>
  <c r="U25" i="12"/>
  <c r="T25" i="12"/>
  <c r="S25" i="12"/>
  <c r="R25" i="12"/>
  <c r="Q25" i="12"/>
  <c r="P25" i="12"/>
  <c r="O25" i="12"/>
  <c r="N25" i="12"/>
  <c r="J25" i="12"/>
  <c r="I25" i="12"/>
  <c r="H25" i="12"/>
  <c r="G25" i="12"/>
  <c r="F25" i="12"/>
  <c r="E25" i="12"/>
  <c r="D25" i="12"/>
  <c r="C25" i="12"/>
  <c r="B25" i="12"/>
  <c r="A25" i="12"/>
  <c r="AE23" i="12"/>
  <c r="R23" i="12"/>
  <c r="E23" i="12"/>
  <c r="AE22" i="12"/>
  <c r="R22" i="12"/>
  <c r="E22" i="12"/>
  <c r="AG21" i="12"/>
  <c r="AE21" i="12"/>
  <c r="R21" i="12"/>
  <c r="G21" i="12"/>
  <c r="E21" i="12"/>
  <c r="AE20" i="12"/>
  <c r="R20" i="12"/>
  <c r="E20" i="12"/>
  <c r="AE19" i="12"/>
  <c r="R19" i="12"/>
  <c r="E19" i="12"/>
  <c r="B11" i="12"/>
  <c r="A11" i="12"/>
  <c r="U10" i="12"/>
  <c r="S10" i="12"/>
  <c r="P10" i="12"/>
  <c r="H10" i="12"/>
  <c r="F10" i="12"/>
  <c r="C10" i="12"/>
  <c r="W9" i="12"/>
  <c r="V9" i="12"/>
  <c r="U9" i="12"/>
  <c r="T9" i="12"/>
  <c r="S9" i="12"/>
  <c r="R9" i="12"/>
  <c r="Q9" i="12"/>
  <c r="P9" i="12"/>
  <c r="O9" i="12"/>
  <c r="N9" i="12"/>
  <c r="J9" i="12"/>
  <c r="I9" i="12"/>
  <c r="H9" i="12"/>
  <c r="G9" i="12"/>
  <c r="F9" i="12"/>
  <c r="E9" i="12"/>
  <c r="D9" i="12"/>
  <c r="C9" i="12"/>
  <c r="B9" i="12"/>
  <c r="A9" i="12"/>
  <c r="R7" i="12"/>
  <c r="E7" i="12"/>
  <c r="R6" i="12"/>
  <c r="E6" i="12"/>
  <c r="T5" i="12"/>
  <c r="R5" i="12"/>
  <c r="G5" i="12"/>
  <c r="E5" i="12"/>
  <c r="R4" i="12"/>
  <c r="E4" i="12"/>
  <c r="R3" i="12"/>
  <c r="E3" i="12"/>
  <c r="B60" i="11"/>
  <c r="B58" i="11"/>
  <c r="B57" i="11"/>
  <c r="AB43" i="11"/>
  <c r="W43" i="11"/>
  <c r="B43" i="11"/>
  <c r="AB59" i="11"/>
  <c r="AB58" i="11"/>
  <c r="AA59" i="11"/>
  <c r="AA58" i="11"/>
  <c r="O57" i="11"/>
  <c r="O44" i="11"/>
  <c r="N44" i="11"/>
  <c r="A60" i="11"/>
  <c r="A59" i="11"/>
  <c r="AB28" i="11"/>
  <c r="AB27" i="11"/>
  <c r="AA28" i="11"/>
  <c r="AA27" i="11"/>
  <c r="O27" i="11"/>
  <c r="B27" i="11"/>
  <c r="B28" i="11"/>
  <c r="B29" i="11"/>
  <c r="A28" i="11"/>
  <c r="A29" i="11"/>
  <c r="O12" i="11"/>
  <c r="O11" i="11"/>
  <c r="N12" i="11"/>
  <c r="N11" i="11"/>
  <c r="AG21" i="11"/>
  <c r="G21" i="11"/>
  <c r="G51" i="11"/>
  <c r="G37" i="11"/>
  <c r="AG50" i="11"/>
  <c r="AG36" i="11"/>
  <c r="AG37" i="11"/>
  <c r="G50" i="11"/>
  <c r="G36" i="11"/>
  <c r="T50" i="11"/>
  <c r="T36" i="11"/>
  <c r="AG20" i="11"/>
  <c r="T20" i="11"/>
  <c r="G20" i="11"/>
  <c r="T4" i="11"/>
  <c r="G4" i="11"/>
  <c r="B59" i="11"/>
  <c r="A58" i="11"/>
  <c r="AB57" i="11"/>
  <c r="AA57" i="11"/>
  <c r="N57" i="11"/>
  <c r="A57" i="11"/>
  <c r="AH56" i="11"/>
  <c r="AF56" i="11"/>
  <c r="AC56" i="11"/>
  <c r="U56" i="11"/>
  <c r="S56" i="11"/>
  <c r="P56" i="11"/>
  <c r="H56" i="11"/>
  <c r="F56" i="11"/>
  <c r="C56" i="11"/>
  <c r="AJ55" i="11"/>
  <c r="AI55" i="11"/>
  <c r="AH55" i="11"/>
  <c r="AG55" i="11"/>
  <c r="AF55" i="11"/>
  <c r="AE55" i="11"/>
  <c r="AD55" i="11"/>
  <c r="AC55" i="11"/>
  <c r="AB55" i="11"/>
  <c r="AA55" i="11"/>
  <c r="W55" i="11"/>
  <c r="V55" i="11"/>
  <c r="U55" i="11"/>
  <c r="T55" i="11"/>
  <c r="S55" i="11"/>
  <c r="R55" i="11"/>
  <c r="Q55" i="11"/>
  <c r="P55" i="11"/>
  <c r="O55" i="11"/>
  <c r="N55" i="11"/>
  <c r="J55" i="11"/>
  <c r="I55" i="11"/>
  <c r="H55" i="11"/>
  <c r="G55" i="11"/>
  <c r="F55" i="11"/>
  <c r="E55" i="11"/>
  <c r="D55" i="11"/>
  <c r="C55" i="11"/>
  <c r="B55" i="11"/>
  <c r="A55" i="11"/>
  <c r="AE53" i="11"/>
  <c r="R53" i="11"/>
  <c r="E53" i="11"/>
  <c r="AE52" i="11"/>
  <c r="R52" i="11"/>
  <c r="E52" i="11"/>
  <c r="AG51" i="11"/>
  <c r="AE51" i="11"/>
  <c r="T51" i="11"/>
  <c r="R51" i="11"/>
  <c r="E51" i="11"/>
  <c r="AE50" i="11"/>
  <c r="R50" i="11"/>
  <c r="E50" i="11"/>
  <c r="AE49" i="11"/>
  <c r="R49" i="11"/>
  <c r="E49" i="11"/>
  <c r="AJ43" i="11"/>
  <c r="AA43" i="11"/>
  <c r="O43" i="11"/>
  <c r="N43" i="11"/>
  <c r="A43" i="11"/>
  <c r="AH42" i="11"/>
  <c r="AF42" i="11"/>
  <c r="AC42" i="11"/>
  <c r="U42" i="11"/>
  <c r="S42" i="11"/>
  <c r="P42" i="11"/>
  <c r="H42" i="11"/>
  <c r="F42" i="11"/>
  <c r="C42" i="11"/>
  <c r="AJ41" i="11"/>
  <c r="AI41" i="11"/>
  <c r="AH41" i="11"/>
  <c r="AG41" i="11"/>
  <c r="AF41" i="11"/>
  <c r="AE41" i="11"/>
  <c r="AD41" i="11"/>
  <c r="AC41" i="11"/>
  <c r="AB41" i="11"/>
  <c r="AA41" i="11"/>
  <c r="W41" i="11"/>
  <c r="V41" i="11"/>
  <c r="U41" i="11"/>
  <c r="T41" i="11"/>
  <c r="S41" i="11"/>
  <c r="R41" i="11"/>
  <c r="Q41" i="11"/>
  <c r="P41" i="11"/>
  <c r="O41" i="11"/>
  <c r="N41" i="11"/>
  <c r="J41" i="11"/>
  <c r="I41" i="11"/>
  <c r="H41" i="11"/>
  <c r="G41" i="11"/>
  <c r="F41" i="11"/>
  <c r="E41" i="11"/>
  <c r="D41" i="11"/>
  <c r="C41" i="11"/>
  <c r="B41" i="11"/>
  <c r="A41" i="11"/>
  <c r="AE39" i="11"/>
  <c r="R39" i="11"/>
  <c r="E39" i="11"/>
  <c r="AE38" i="11"/>
  <c r="R38" i="11"/>
  <c r="E38" i="11"/>
  <c r="AE37" i="11"/>
  <c r="T37" i="11"/>
  <c r="R37" i="11"/>
  <c r="E37" i="11"/>
  <c r="AE36" i="11"/>
  <c r="R36" i="11"/>
  <c r="E36" i="11"/>
  <c r="AE35" i="11"/>
  <c r="R35" i="11"/>
  <c r="E35" i="11"/>
  <c r="N27" i="11"/>
  <c r="A27" i="11"/>
  <c r="AH26" i="11"/>
  <c r="AF26" i="11"/>
  <c r="AC26" i="11"/>
  <c r="U26" i="11"/>
  <c r="S26" i="11"/>
  <c r="P26" i="11"/>
  <c r="H26" i="11"/>
  <c r="F26" i="11"/>
  <c r="C26" i="11"/>
  <c r="AJ25" i="11"/>
  <c r="AI25" i="11"/>
  <c r="AH25" i="11"/>
  <c r="AG25" i="11"/>
  <c r="AF25" i="11"/>
  <c r="AE25" i="11"/>
  <c r="AD25" i="11"/>
  <c r="AC25" i="11"/>
  <c r="AB25" i="11"/>
  <c r="AA25" i="11"/>
  <c r="W25" i="11"/>
  <c r="V25" i="11"/>
  <c r="U25" i="11"/>
  <c r="T25" i="11"/>
  <c r="S25" i="11"/>
  <c r="R25" i="11"/>
  <c r="Q25" i="11"/>
  <c r="P25" i="11"/>
  <c r="O25" i="11"/>
  <c r="N25" i="11"/>
  <c r="J25" i="11"/>
  <c r="I25" i="11"/>
  <c r="H25" i="11"/>
  <c r="G25" i="11"/>
  <c r="F25" i="11"/>
  <c r="E25" i="11"/>
  <c r="D25" i="11"/>
  <c r="C25" i="11"/>
  <c r="B25" i="11"/>
  <c r="A25" i="11"/>
  <c r="AE23" i="11"/>
  <c r="R23" i="11"/>
  <c r="E23" i="11"/>
  <c r="AE22" i="11"/>
  <c r="R22" i="11"/>
  <c r="E22" i="11"/>
  <c r="AE21" i="11"/>
  <c r="T21" i="11"/>
  <c r="R21" i="11"/>
  <c r="E21" i="11"/>
  <c r="AE20" i="11"/>
  <c r="R20" i="11"/>
  <c r="E20" i="11"/>
  <c r="AE19" i="11"/>
  <c r="R19" i="11"/>
  <c r="E19" i="11"/>
  <c r="B11" i="11"/>
  <c r="A11" i="11"/>
  <c r="U10" i="11"/>
  <c r="S10" i="11"/>
  <c r="P10" i="11"/>
  <c r="H10" i="11"/>
  <c r="F10" i="11"/>
  <c r="C10" i="11"/>
  <c r="W9" i="11"/>
  <c r="V9" i="11"/>
  <c r="U9" i="11"/>
  <c r="T9" i="11"/>
  <c r="S9" i="11"/>
  <c r="R9" i="11"/>
  <c r="Q9" i="11"/>
  <c r="P9" i="11"/>
  <c r="O9" i="11"/>
  <c r="N9" i="11"/>
  <c r="J9" i="11"/>
  <c r="I9" i="11"/>
  <c r="H9" i="11"/>
  <c r="G9" i="11"/>
  <c r="F9" i="11"/>
  <c r="E9" i="11"/>
  <c r="D9" i="11"/>
  <c r="C9" i="11"/>
  <c r="B9" i="11"/>
  <c r="A9" i="11"/>
  <c r="R7" i="11"/>
  <c r="E7" i="11"/>
  <c r="R6" i="11"/>
  <c r="E6" i="11"/>
  <c r="T5" i="11"/>
  <c r="R5" i="11"/>
  <c r="G5" i="11"/>
  <c r="E5" i="11"/>
  <c r="R4" i="11"/>
  <c r="E4" i="11"/>
  <c r="R3" i="11"/>
  <c r="E3" i="11"/>
  <c r="H56" i="10"/>
  <c r="F56" i="10"/>
  <c r="C56" i="10"/>
  <c r="U56" i="10"/>
  <c r="S56" i="10"/>
  <c r="P56" i="10"/>
  <c r="AH56" i="10"/>
  <c r="AF56" i="10"/>
  <c r="AC56" i="10"/>
  <c r="AH42" i="10"/>
  <c r="AF42" i="10"/>
  <c r="AC42" i="10"/>
  <c r="U42" i="10"/>
  <c r="S42" i="10"/>
  <c r="P42" i="10"/>
  <c r="H42" i="10"/>
  <c r="F42" i="10"/>
  <c r="C42" i="10"/>
  <c r="AH26" i="10"/>
  <c r="AF26" i="10"/>
  <c r="AC26" i="10"/>
  <c r="U26" i="10"/>
  <c r="S26" i="10"/>
  <c r="P26" i="10"/>
  <c r="H26" i="10"/>
  <c r="F26" i="10"/>
  <c r="C26" i="10"/>
  <c r="U10" i="10"/>
  <c r="S10" i="10"/>
  <c r="P10" i="10"/>
  <c r="H10" i="10"/>
  <c r="F10" i="10"/>
  <c r="C10" i="10"/>
  <c r="AJ55" i="10"/>
  <c r="AI55" i="10"/>
  <c r="AH55" i="10"/>
  <c r="AG55" i="10"/>
  <c r="AF55" i="10"/>
  <c r="AE55" i="10"/>
  <c r="AD55" i="10"/>
  <c r="AC55" i="10"/>
  <c r="AB55" i="10"/>
  <c r="AA55" i="10"/>
  <c r="W55" i="10"/>
  <c r="V55" i="10"/>
  <c r="U55" i="10"/>
  <c r="T55" i="10"/>
  <c r="S55" i="10"/>
  <c r="R55" i="10"/>
  <c r="Q55" i="10"/>
  <c r="P55" i="10"/>
  <c r="O55" i="10"/>
  <c r="N55" i="10"/>
  <c r="J55" i="10"/>
  <c r="I55" i="10"/>
  <c r="H55" i="10"/>
  <c r="G55" i="10"/>
  <c r="F55" i="10"/>
  <c r="E55" i="10"/>
  <c r="D55" i="10"/>
  <c r="C55" i="10"/>
  <c r="B55" i="10"/>
  <c r="A55" i="10"/>
  <c r="J41" i="10"/>
  <c r="I41" i="10"/>
  <c r="H41" i="10"/>
  <c r="G41" i="10"/>
  <c r="F41" i="10"/>
  <c r="E41" i="10"/>
  <c r="D41" i="10"/>
  <c r="C41" i="10"/>
  <c r="B41" i="10"/>
  <c r="A41" i="10"/>
  <c r="W41" i="10"/>
  <c r="V41" i="10"/>
  <c r="U41" i="10"/>
  <c r="T41" i="10"/>
  <c r="S41" i="10"/>
  <c r="R41" i="10"/>
  <c r="Q41" i="10"/>
  <c r="P41" i="10"/>
  <c r="O41" i="10"/>
  <c r="N41" i="10"/>
  <c r="AJ41" i="10"/>
  <c r="AI41" i="10"/>
  <c r="AH41" i="10"/>
  <c r="AG41" i="10"/>
  <c r="AF41" i="10"/>
  <c r="AE41" i="10"/>
  <c r="AD41" i="10"/>
  <c r="AC41" i="10"/>
  <c r="AB41" i="10"/>
  <c r="AA41" i="10"/>
  <c r="AJ25" i="10"/>
  <c r="AI25" i="10"/>
  <c r="AH25" i="10"/>
  <c r="AG25" i="10"/>
  <c r="AF25" i="10"/>
  <c r="AE25" i="10"/>
  <c r="AD25" i="10"/>
  <c r="AC25" i="10"/>
  <c r="AB25" i="10"/>
  <c r="AA25" i="10"/>
  <c r="W25" i="10"/>
  <c r="V25" i="10"/>
  <c r="U25" i="10"/>
  <c r="T25" i="10"/>
  <c r="S25" i="10"/>
  <c r="R25" i="10"/>
  <c r="Q25" i="10"/>
  <c r="P25" i="10"/>
  <c r="O25" i="10"/>
  <c r="N25" i="10"/>
  <c r="J25" i="10"/>
  <c r="I25" i="10"/>
  <c r="H25" i="10"/>
  <c r="G25" i="10"/>
  <c r="F25" i="10"/>
  <c r="E25" i="10"/>
  <c r="D25" i="10"/>
  <c r="C25" i="10"/>
  <c r="B25" i="10"/>
  <c r="A25" i="10"/>
  <c r="W9" i="10"/>
  <c r="V9" i="10"/>
  <c r="U9" i="10"/>
  <c r="T9" i="10"/>
  <c r="S9" i="10"/>
  <c r="R9" i="10"/>
  <c r="Q9" i="10"/>
  <c r="P9" i="10"/>
  <c r="O9" i="10"/>
  <c r="N9" i="10"/>
  <c r="J9" i="10"/>
  <c r="I9" i="10"/>
  <c r="H9" i="10"/>
  <c r="G9" i="10"/>
  <c r="F9" i="10"/>
  <c r="E9" i="10"/>
  <c r="D9" i="10"/>
  <c r="C9" i="10"/>
  <c r="B9" i="10"/>
  <c r="A9" i="10"/>
  <c r="E53" i="10"/>
  <c r="E52" i="10"/>
  <c r="E51" i="10"/>
  <c r="E50" i="10"/>
  <c r="E49" i="10"/>
  <c r="R53" i="10"/>
  <c r="R52" i="10"/>
  <c r="R51" i="10"/>
  <c r="R50" i="10"/>
  <c r="R49" i="10"/>
  <c r="AE53" i="10"/>
  <c r="AE52" i="10"/>
  <c r="AE51" i="10"/>
  <c r="AE50" i="10"/>
  <c r="AE49" i="10"/>
  <c r="AE39" i="10"/>
  <c r="AE38" i="10"/>
  <c r="AE37" i="10"/>
  <c r="AE36" i="10"/>
  <c r="AE35" i="10"/>
  <c r="R39" i="10"/>
  <c r="R38" i="10"/>
  <c r="R37" i="10"/>
  <c r="R36" i="10"/>
  <c r="R35" i="10"/>
  <c r="E39" i="10"/>
  <c r="E38" i="10"/>
  <c r="E37" i="10"/>
  <c r="E36" i="10"/>
  <c r="E35" i="10"/>
  <c r="E23" i="10"/>
  <c r="E22" i="10"/>
  <c r="E21" i="10"/>
  <c r="E20" i="10"/>
  <c r="E19" i="10"/>
  <c r="R23" i="10"/>
  <c r="R22" i="10"/>
  <c r="R21" i="10"/>
  <c r="R20" i="10"/>
  <c r="R19" i="10"/>
  <c r="AE23" i="10"/>
  <c r="AE22" i="10"/>
  <c r="AE21" i="10"/>
  <c r="AE20" i="10"/>
  <c r="AE19" i="10"/>
  <c r="R7" i="10"/>
  <c r="R6" i="10"/>
  <c r="R5" i="10"/>
  <c r="R4" i="10"/>
  <c r="R3" i="10"/>
  <c r="E7" i="10"/>
  <c r="E6" i="10"/>
  <c r="E5" i="10"/>
  <c r="E4" i="10"/>
  <c r="E3" i="10"/>
  <c r="AB57" i="10"/>
  <c r="AA57" i="10"/>
  <c r="AJ43" i="10"/>
  <c r="AB44" i="10"/>
  <c r="AB43" i="10"/>
  <c r="AA44" i="10"/>
  <c r="AA43" i="10"/>
  <c r="W58" i="10"/>
  <c r="O58" i="10"/>
  <c r="O57" i="10"/>
  <c r="N58" i="10"/>
  <c r="N57" i="10"/>
  <c r="O44" i="10"/>
  <c r="O43" i="10"/>
  <c r="N44" i="10"/>
  <c r="N43" i="10"/>
  <c r="B57" i="10"/>
  <c r="B59" i="10"/>
  <c r="B58" i="10"/>
  <c r="B60" i="10"/>
  <c r="B44" i="10"/>
  <c r="B43" i="10"/>
  <c r="A60" i="10"/>
  <c r="A59" i="10"/>
  <c r="A58" i="10"/>
  <c r="A57" i="10"/>
  <c r="A44" i="10"/>
  <c r="A43" i="10"/>
  <c r="T51" i="10"/>
  <c r="AG51" i="10"/>
  <c r="T37" i="10"/>
  <c r="AG37" i="10"/>
  <c r="G51" i="10"/>
  <c r="G37" i="10"/>
  <c r="O27" i="10"/>
  <c r="N27" i="10"/>
  <c r="G21" i="10"/>
  <c r="T21" i="10"/>
  <c r="B28" i="10"/>
  <c r="B27" i="10"/>
  <c r="A28" i="10"/>
  <c r="A27" i="10"/>
  <c r="O11" i="10"/>
  <c r="N11" i="10"/>
  <c r="B12" i="10"/>
  <c r="B11" i="10"/>
  <c r="A12" i="10"/>
  <c r="A11" i="10"/>
  <c r="T5" i="10"/>
  <c r="G5" i="10"/>
  <c r="T4" i="10"/>
  <c r="G4" i="10"/>
  <c r="G50" i="10"/>
  <c r="G36" i="10"/>
  <c r="G20" i="10"/>
  <c r="AG50" i="10"/>
  <c r="AG36" i="10"/>
  <c r="AG20" i="10"/>
  <c r="T50" i="10"/>
  <c r="T36" i="10"/>
  <c r="T20" i="10"/>
  <c r="AG21" i="10"/>
  <c r="J12" i="10"/>
  <c r="E12" i="10"/>
  <c r="J11" i="10"/>
  <c r="E11" i="10"/>
  <c r="T61" i="8"/>
  <c r="S61" i="8"/>
  <c r="Q61" i="8"/>
  <c r="R61" i="8"/>
  <c r="R46" i="8"/>
  <c r="T46" i="8"/>
  <c r="S46" i="8"/>
  <c r="Q46" i="8"/>
  <c r="Y46" i="8" s="1"/>
  <c r="Q44" i="8"/>
  <c r="R33" i="8"/>
  <c r="S38" i="8"/>
  <c r="G138" i="15" l="1"/>
  <c r="G178" i="15"/>
  <c r="U61" i="8"/>
  <c r="V61" i="8" s="1"/>
  <c r="G83" i="15"/>
  <c r="H83" i="15" s="1"/>
  <c r="F81" i="15"/>
  <c r="I81" i="15"/>
  <c r="J81" i="15" s="1"/>
  <c r="G81" i="15"/>
  <c r="H81" i="15" s="1"/>
  <c r="G288" i="15"/>
  <c r="K446" i="15"/>
  <c r="K430" i="15"/>
  <c r="I83" i="15"/>
  <c r="J83" i="15" s="1"/>
  <c r="K26" i="15"/>
  <c r="I448" i="15"/>
  <c r="J448" i="15" s="1"/>
  <c r="F448" i="15"/>
  <c r="K24" i="15"/>
  <c r="K407" i="15"/>
  <c r="K410" i="15"/>
  <c r="K427" i="15"/>
  <c r="U46" i="8"/>
  <c r="W46" i="8"/>
  <c r="AA46" i="8" s="1"/>
  <c r="V46" i="8"/>
  <c r="X46" i="8" s="1"/>
  <c r="Z46" i="8" s="1"/>
  <c r="AC46" i="8" s="1"/>
  <c r="Q4" i="8"/>
  <c r="Y4" i="8" s="1"/>
  <c r="Q5" i="8"/>
  <c r="Q6" i="8"/>
  <c r="Y6" i="8" s="1"/>
  <c r="Q7" i="8"/>
  <c r="Q13" i="8"/>
  <c r="Y13" i="8" s="1"/>
  <c r="Q14" i="8"/>
  <c r="Q15" i="8"/>
  <c r="Q17" i="8"/>
  <c r="Y17" i="8" s="1"/>
  <c r="Q18" i="8"/>
  <c r="Q28" i="8"/>
  <c r="Y28" i="8" s="1"/>
  <c r="Q29" i="8"/>
  <c r="Y29" i="8" s="1"/>
  <c r="Q30" i="8"/>
  <c r="Q31" i="8"/>
  <c r="Q32" i="8"/>
  <c r="Y33" i="8"/>
  <c r="Q35" i="8"/>
  <c r="Y35" i="8" s="1"/>
  <c r="Q36" i="8"/>
  <c r="Y36" i="8" s="1"/>
  <c r="Q37" i="8"/>
  <c r="Y37" i="8" s="1"/>
  <c r="Q38" i="8"/>
  <c r="Q39" i="8"/>
  <c r="Q10" i="8"/>
  <c r="Y10" i="8" s="1"/>
  <c r="Q11" i="8"/>
  <c r="Q23" i="8"/>
  <c r="Y23" i="8" s="1"/>
  <c r="Q24" i="8"/>
  <c r="Q53" i="8"/>
  <c r="Y53" i="8" s="1"/>
  <c r="Q54" i="8"/>
  <c r="Q55" i="8"/>
  <c r="Q56" i="8"/>
  <c r="Q57" i="8"/>
  <c r="Y57" i="8" s="1"/>
  <c r="Q58" i="8"/>
  <c r="Q60" i="8"/>
  <c r="Y60" i="8" s="1"/>
  <c r="Q62" i="8"/>
  <c r="Q8" i="8"/>
  <c r="Y8" i="8" s="1"/>
  <c r="Q9" i="8"/>
  <c r="Y9" i="8" s="1"/>
  <c r="Q19" i="8"/>
  <c r="Y19" i="8" s="1"/>
  <c r="Q20" i="8"/>
  <c r="Y20" i="8" s="1"/>
  <c r="Q21" i="8"/>
  <c r="Q22" i="8"/>
  <c r="Y22" i="8" s="1"/>
  <c r="Q40" i="8"/>
  <c r="Y40" i="8" s="1"/>
  <c r="Q41" i="8"/>
  <c r="Y41" i="8" s="1"/>
  <c r="Q42" i="8"/>
  <c r="Y42" i="8" s="1"/>
  <c r="Q43" i="8"/>
  <c r="Y43" i="8" s="1"/>
  <c r="Q45" i="8"/>
  <c r="Y45" i="8" s="1"/>
  <c r="T4" i="8"/>
  <c r="T5" i="8"/>
  <c r="T6" i="8"/>
  <c r="T7" i="8"/>
  <c r="T13" i="8"/>
  <c r="T14" i="8"/>
  <c r="T15" i="8"/>
  <c r="T17" i="8"/>
  <c r="T18" i="8"/>
  <c r="T28" i="8"/>
  <c r="T29" i="8"/>
  <c r="T30" i="8"/>
  <c r="T31" i="8"/>
  <c r="T32" i="8"/>
  <c r="T33" i="8"/>
  <c r="T35" i="8"/>
  <c r="T36" i="8"/>
  <c r="T37" i="8"/>
  <c r="T38" i="8"/>
  <c r="T39" i="8"/>
  <c r="T10" i="8"/>
  <c r="T11" i="8"/>
  <c r="T23" i="8"/>
  <c r="T24" i="8"/>
  <c r="T53" i="8"/>
  <c r="T54" i="8"/>
  <c r="T55" i="8"/>
  <c r="T56" i="8"/>
  <c r="T57" i="8"/>
  <c r="T58" i="8"/>
  <c r="T60" i="8"/>
  <c r="T62" i="8"/>
  <c r="T8" i="8"/>
  <c r="T9" i="8"/>
  <c r="T19" i="8"/>
  <c r="T20" i="8"/>
  <c r="T21" i="8"/>
  <c r="T22" i="8"/>
  <c r="T40" i="8"/>
  <c r="T41" i="8"/>
  <c r="T42" i="8"/>
  <c r="T43" i="8"/>
  <c r="T44" i="8"/>
  <c r="T45" i="8"/>
  <c r="T3" i="8"/>
  <c r="S5" i="8"/>
  <c r="R5" i="8"/>
  <c r="Y5" i="8"/>
  <c r="Y62" i="8"/>
  <c r="S4" i="8"/>
  <c r="S6" i="8"/>
  <c r="S7" i="8"/>
  <c r="S13" i="8"/>
  <c r="S14" i="8"/>
  <c r="S15" i="8"/>
  <c r="S17" i="8"/>
  <c r="S18" i="8"/>
  <c r="S28" i="8"/>
  <c r="S29" i="8"/>
  <c r="S30" i="8"/>
  <c r="S31" i="8"/>
  <c r="S32" i="8"/>
  <c r="S33" i="8"/>
  <c r="S35" i="8"/>
  <c r="S36" i="8"/>
  <c r="S37" i="8"/>
  <c r="S39" i="8"/>
  <c r="S10" i="8"/>
  <c r="S11" i="8"/>
  <c r="S23" i="8"/>
  <c r="S24" i="8"/>
  <c r="S53" i="8"/>
  <c r="S54" i="8"/>
  <c r="S55" i="8"/>
  <c r="S56" i="8"/>
  <c r="S57" i="8"/>
  <c r="S58" i="8"/>
  <c r="S60" i="8"/>
  <c r="S62" i="8"/>
  <c r="S8" i="8"/>
  <c r="S9" i="8"/>
  <c r="S19" i="8"/>
  <c r="S20" i="8"/>
  <c r="S21" i="8"/>
  <c r="S22" i="8"/>
  <c r="S40" i="8"/>
  <c r="S41" i="8"/>
  <c r="S42" i="8"/>
  <c r="S43" i="8"/>
  <c r="S44" i="8"/>
  <c r="S45" i="8"/>
  <c r="R4" i="8"/>
  <c r="R6" i="8"/>
  <c r="R7" i="8"/>
  <c r="R13" i="8"/>
  <c r="R14" i="8"/>
  <c r="R15" i="8"/>
  <c r="R17" i="8"/>
  <c r="R18" i="8"/>
  <c r="R28" i="8"/>
  <c r="R29" i="8"/>
  <c r="R30" i="8"/>
  <c r="R31" i="8"/>
  <c r="R32" i="8"/>
  <c r="R35" i="8"/>
  <c r="R36" i="8"/>
  <c r="R37" i="8"/>
  <c r="R38" i="8"/>
  <c r="R39" i="8"/>
  <c r="R10" i="8"/>
  <c r="R11" i="8"/>
  <c r="R23" i="8"/>
  <c r="R24" i="8"/>
  <c r="R53" i="8"/>
  <c r="R54" i="8"/>
  <c r="R55" i="8"/>
  <c r="R56" i="8"/>
  <c r="R57" i="8"/>
  <c r="R58" i="8"/>
  <c r="R60" i="8"/>
  <c r="R62" i="8"/>
  <c r="R8" i="8"/>
  <c r="R9" i="8"/>
  <c r="R19" i="8"/>
  <c r="R20" i="8"/>
  <c r="R21" i="8"/>
  <c r="R22" i="8"/>
  <c r="R40" i="8"/>
  <c r="R41" i="8"/>
  <c r="R42" i="8"/>
  <c r="R43" i="8"/>
  <c r="R44" i="8"/>
  <c r="R45" i="8"/>
  <c r="R3" i="8"/>
  <c r="S3" i="8"/>
  <c r="K81" i="15" l="1"/>
  <c r="G28" i="15"/>
  <c r="G431" i="15"/>
  <c r="K448" i="15"/>
  <c r="G449" i="15" s="1"/>
  <c r="K83" i="15"/>
  <c r="G411" i="15"/>
  <c r="AB46" i="8"/>
  <c r="AD46" i="8" s="1"/>
  <c r="U43" i="8"/>
  <c r="W43" i="8" s="1"/>
  <c r="AA43" i="8" s="1"/>
  <c r="U22" i="8"/>
  <c r="W22" i="8" s="1"/>
  <c r="AA22" i="8" s="1"/>
  <c r="U55" i="8"/>
  <c r="U23" i="8"/>
  <c r="U10" i="8"/>
  <c r="U36" i="8"/>
  <c r="W36" i="8" s="1"/>
  <c r="AA36" i="8" s="1"/>
  <c r="U32" i="8"/>
  <c r="U28" i="8"/>
  <c r="W28" i="8" s="1"/>
  <c r="AA28" i="8" s="1"/>
  <c r="U15" i="8"/>
  <c r="V15" i="8" s="1"/>
  <c r="U6" i="8"/>
  <c r="U9" i="8"/>
  <c r="W9" i="8" s="1"/>
  <c r="AA9" i="8" s="1"/>
  <c r="U21" i="8"/>
  <c r="U8" i="8"/>
  <c r="W8" i="8" s="1"/>
  <c r="AA8" i="8" s="1"/>
  <c r="U58" i="8"/>
  <c r="U54" i="8"/>
  <c r="U39" i="8"/>
  <c r="U35" i="8"/>
  <c r="W35" i="8" s="1"/>
  <c r="AA35" i="8" s="1"/>
  <c r="U31" i="8"/>
  <c r="U18" i="8"/>
  <c r="U14" i="8"/>
  <c r="V14" i="8" s="1"/>
  <c r="U3" i="8"/>
  <c r="U42" i="8"/>
  <c r="V42" i="8" s="1"/>
  <c r="X42" i="8" s="1"/>
  <c r="Z42" i="8" s="1"/>
  <c r="U24" i="8"/>
  <c r="V24" i="8" s="1"/>
  <c r="U40" i="8"/>
  <c r="W40" i="8" s="1"/>
  <c r="AA40" i="8" s="1"/>
  <c r="U19" i="8"/>
  <c r="W19" i="8" s="1"/>
  <c r="AA19" i="8" s="1"/>
  <c r="U33" i="8"/>
  <c r="V33" i="8" s="1"/>
  <c r="X33" i="8" s="1"/>
  <c r="Z33" i="8" s="1"/>
  <c r="U29" i="8"/>
  <c r="U62" i="8"/>
  <c r="W62" i="8" s="1"/>
  <c r="AA62" i="8" s="1"/>
  <c r="U17" i="8"/>
  <c r="U44" i="8"/>
  <c r="V44" i="8" s="1"/>
  <c r="U56" i="8"/>
  <c r="V56" i="8" s="1"/>
  <c r="U11" i="8"/>
  <c r="U7" i="8"/>
  <c r="V7" i="8" s="1"/>
  <c r="U60" i="8"/>
  <c r="U37" i="8"/>
  <c r="V37" i="8" s="1"/>
  <c r="X37" i="8" s="1"/>
  <c r="Z37" i="8" s="1"/>
  <c r="U45" i="8"/>
  <c r="V45" i="8" s="1"/>
  <c r="X45" i="8" s="1"/>
  <c r="Z45" i="8" s="1"/>
  <c r="U41" i="8"/>
  <c r="V41" i="8" s="1"/>
  <c r="X41" i="8" s="1"/>
  <c r="Z41" i="8" s="1"/>
  <c r="U20" i="8"/>
  <c r="W20" i="8" s="1"/>
  <c r="AA20" i="8" s="1"/>
  <c r="U57" i="8"/>
  <c r="U53" i="8"/>
  <c r="U38" i="8"/>
  <c r="V38" i="8" s="1"/>
  <c r="U30" i="8"/>
  <c r="V30" i="8" s="1"/>
  <c r="U13" i="8"/>
  <c r="U4" i="8"/>
  <c r="W4" i="8" s="1"/>
  <c r="AA4" i="8" s="1"/>
  <c r="U5" i="8"/>
  <c r="V5" i="8" s="1"/>
  <c r="X5" i="8" s="1"/>
  <c r="Z5" i="8" s="1"/>
  <c r="V3" i="8" l="1"/>
  <c r="X3" i="8" s="1"/>
  <c r="Z3" i="8" s="1"/>
  <c r="W3" i="8"/>
  <c r="AA3" i="8" s="1"/>
  <c r="G85" i="15"/>
  <c r="V62" i="8"/>
  <c r="X62" i="8" s="1"/>
  <c r="Z62" i="8" s="1"/>
  <c r="AC62" i="8" s="1"/>
  <c r="W60" i="8"/>
  <c r="AA60" i="8" s="1"/>
  <c r="V53" i="8"/>
  <c r="W53" i="8"/>
  <c r="AA53" i="8" s="1"/>
  <c r="V55" i="8"/>
  <c r="V57" i="8"/>
  <c r="W57" i="8"/>
  <c r="AA57" i="8" s="1"/>
  <c r="W42" i="8"/>
  <c r="V39" i="8"/>
  <c r="W29" i="8"/>
  <c r="AA29" i="8" s="1"/>
  <c r="W23" i="8"/>
  <c r="AA23" i="8" s="1"/>
  <c r="W13" i="8"/>
  <c r="AA13" i="8" s="1"/>
  <c r="V20" i="8"/>
  <c r="V21" i="8"/>
  <c r="V36" i="8"/>
  <c r="X36" i="8" s="1"/>
  <c r="Z36" i="8" s="1"/>
  <c r="AC36" i="8" s="1"/>
  <c r="W37" i="8"/>
  <c r="AA37" i="8" s="1"/>
  <c r="AC37" i="8" s="1"/>
  <c r="W17" i="8"/>
  <c r="AA17" i="8" s="1"/>
  <c r="W10" i="8"/>
  <c r="AA10" i="8" s="1"/>
  <c r="V54" i="8"/>
  <c r="V10" i="8"/>
  <c r="V31" i="8"/>
  <c r="V18" i="8"/>
  <c r="V28" i="8"/>
  <c r="X28" i="8" s="1"/>
  <c r="Z28" i="8" s="1"/>
  <c r="AC28" i="8" s="1"/>
  <c r="V23" i="8"/>
  <c r="V22" i="8"/>
  <c r="X22" i="8" s="1"/>
  <c r="Z22" i="8" s="1"/>
  <c r="AC22" i="8" s="1"/>
  <c r="W45" i="8"/>
  <c r="AA45" i="8" s="1"/>
  <c r="AB45" i="8" s="1"/>
  <c r="V58" i="8"/>
  <c r="V32" i="8"/>
  <c r="V43" i="8"/>
  <c r="X43" i="8" s="1"/>
  <c r="Z43" i="8" s="1"/>
  <c r="AC43" i="8" s="1"/>
  <c r="V17" i="8"/>
  <c r="V35" i="8"/>
  <c r="X35" i="8" s="1"/>
  <c r="Z35" i="8" s="1"/>
  <c r="AC35" i="8" s="1"/>
  <c r="V29" i="8"/>
  <c r="V13" i="8"/>
  <c r="W41" i="8"/>
  <c r="AA41" i="8" s="1"/>
  <c r="AC41" i="8" s="1"/>
  <c r="V6" i="8"/>
  <c r="X6" i="8" s="1"/>
  <c r="Z6" i="8" s="1"/>
  <c r="W6" i="8"/>
  <c r="AA6" i="8" s="1"/>
  <c r="V4" i="8"/>
  <c r="X4" i="8" s="1"/>
  <c r="Z4" i="8" s="1"/>
  <c r="AC4" i="8" s="1"/>
  <c r="V19" i="8"/>
  <c r="X19" i="8" s="1"/>
  <c r="Z19" i="8" s="1"/>
  <c r="AC19" i="8" s="1"/>
  <c r="V8" i="8"/>
  <c r="X8" i="8" s="1"/>
  <c r="Z8" i="8" s="1"/>
  <c r="AC8" i="8" s="1"/>
  <c r="V9" i="8"/>
  <c r="X9" i="8" s="1"/>
  <c r="Z9" i="8" s="1"/>
  <c r="AB9" i="8" s="1"/>
  <c r="V60" i="8"/>
  <c r="W33" i="8"/>
  <c r="AA33" i="8" s="1"/>
  <c r="AB33" i="8" s="1"/>
  <c r="V40" i="8"/>
  <c r="X40" i="8" s="1"/>
  <c r="Z40" i="8" s="1"/>
  <c r="AC40" i="8" s="1"/>
  <c r="V11" i="8"/>
  <c r="W5" i="8"/>
  <c r="AB62" i="8" l="1"/>
  <c r="X60" i="8"/>
  <c r="Z60" i="8" s="1"/>
  <c r="X53" i="8"/>
  <c r="Z53" i="8" s="1"/>
  <c r="X57" i="8"/>
  <c r="Z57" i="8" s="1"/>
  <c r="AD62" i="8"/>
  <c r="AA42" i="8"/>
  <c r="AC42" i="8" s="1"/>
  <c r="AB37" i="8"/>
  <c r="AD37" i="8" s="1"/>
  <c r="AB36" i="8"/>
  <c r="AD36" i="8" s="1"/>
  <c r="X29" i="8"/>
  <c r="Z29" i="8" s="1"/>
  <c r="X23" i="8"/>
  <c r="Z23" i="8" s="1"/>
  <c r="AB22" i="8"/>
  <c r="AD22" i="8" s="1"/>
  <c r="X20" i="8"/>
  <c r="Z20" i="8" s="1"/>
  <c r="AC45" i="8"/>
  <c r="AD45" i="8" s="1"/>
  <c r="X17" i="8"/>
  <c r="Z17" i="8" s="1"/>
  <c r="X13" i="8"/>
  <c r="Z13" i="8" s="1"/>
  <c r="AC13" i="8" s="1"/>
  <c r="X10" i="8"/>
  <c r="Z10" i="8" s="1"/>
  <c r="AC10" i="8" s="1"/>
  <c r="AB43" i="8"/>
  <c r="AD43" i="8" s="1"/>
  <c r="AB35" i="8"/>
  <c r="AD35" i="8" s="1"/>
  <c r="AB28" i="8"/>
  <c r="AD28" i="8" s="1"/>
  <c r="AB41" i="8"/>
  <c r="AD41" i="8" s="1"/>
  <c r="AB8" i="8"/>
  <c r="AD8" i="8" s="1"/>
  <c r="AC3" i="8"/>
  <c r="AB19" i="8"/>
  <c r="AD19" i="8" s="1"/>
  <c r="AC6" i="8"/>
  <c r="AB6" i="8"/>
  <c r="AB4" i="8"/>
  <c r="AD4" i="8" s="1"/>
  <c r="AC9" i="8"/>
  <c r="AD9" i="8" s="1"/>
  <c r="AB3" i="8"/>
  <c r="AC33" i="8"/>
  <c r="AD33" i="8" s="1"/>
  <c r="AB40" i="8"/>
  <c r="AD40" i="8" s="1"/>
  <c r="AA5" i="8"/>
  <c r="AC60" i="8" l="1"/>
  <c r="AB60" i="8"/>
  <c r="AB57" i="8"/>
  <c r="AC57" i="8"/>
  <c r="AB42" i="8"/>
  <c r="AD42" i="8" s="1"/>
  <c r="AB29" i="8"/>
  <c r="AC29" i="8"/>
  <c r="AC23" i="8"/>
  <c r="AB23" i="8"/>
  <c r="AB20" i="8"/>
  <c r="AC20" i="8"/>
  <c r="AC17" i="8"/>
  <c r="AB17" i="8"/>
  <c r="AB13" i="8"/>
  <c r="AD13" i="8" s="1"/>
  <c r="AB10" i="8"/>
  <c r="AD10" i="8" s="1"/>
  <c r="AD6" i="8"/>
  <c r="AD3" i="8"/>
  <c r="AB53" i="8"/>
  <c r="AC53" i="8"/>
  <c r="AB5" i="8"/>
  <c r="AC5" i="8"/>
  <c r="AD60" i="8" l="1"/>
  <c r="AD57" i="8"/>
  <c r="AD29" i="8"/>
  <c r="AD23" i="8"/>
  <c r="AD20" i="8"/>
  <c r="AD17" i="8"/>
  <c r="AD53" i="8"/>
  <c r="AD5" i="8"/>
  <c r="F104" i="15" l="1"/>
  <c r="G104" i="15"/>
  <c r="H104" i="15" s="1"/>
  <c r="I104" i="15"/>
  <c r="J104" i="15" s="1"/>
  <c r="K104" i="15" l="1"/>
  <c r="G106" i="15" s="1"/>
</calcChain>
</file>

<file path=xl/sharedStrings.xml><?xml version="1.0" encoding="utf-8"?>
<sst xmlns="http://schemas.openxmlformats.org/spreadsheetml/2006/main" count="1026" uniqueCount="175">
  <si>
    <t>Attack</t>
  </si>
  <si>
    <t>Name</t>
  </si>
  <si>
    <t>-</t>
  </si>
  <si>
    <t>Super Attack</t>
  </si>
  <si>
    <t>Wait</t>
  </si>
  <si>
    <t>Attaque cool</t>
  </si>
  <si>
    <t>Shield</t>
  </si>
  <si>
    <t>Fireball</t>
  </si>
  <si>
    <t>MiniHeal</t>
  </si>
  <si>
    <t>MiniPoison</t>
  </si>
  <si>
    <t>Direct</t>
  </si>
  <si>
    <t>Temp</t>
  </si>
  <si>
    <t>GiveSpeed</t>
  </si>
  <si>
    <t>Balance</t>
  </si>
  <si>
    <t>Full Plate</t>
  </si>
  <si>
    <t>Double Hit</t>
  </si>
  <si>
    <t>Speed</t>
  </si>
  <si>
    <t>Heal over time</t>
  </si>
  <si>
    <t>Call Beast</t>
  </si>
  <si>
    <t>Explosion</t>
  </si>
  <si>
    <t>Leech</t>
  </si>
  <si>
    <t>Enleve def</t>
  </si>
  <si>
    <t>Passive</t>
  </si>
  <si>
    <t>DirectAll</t>
  </si>
  <si>
    <t>Bear</t>
  </si>
  <si>
    <t>Eagle</t>
  </si>
  <si>
    <t>DirectTeam</t>
  </si>
  <si>
    <t>Freeze</t>
  </si>
  <si>
    <t>Grosse fireball</t>
  </si>
  <si>
    <t>Atk Stun</t>
  </si>
  <si>
    <t>Heal</t>
  </si>
  <si>
    <t>Cleave</t>
  </si>
  <si>
    <t>Tornado</t>
  </si>
  <si>
    <t>Retaliate</t>
  </si>
  <si>
    <t>Shield/Retaliate</t>
  </si>
  <si>
    <t>Gros poison</t>
  </si>
  <si>
    <t>Give auto roll</t>
  </si>
  <si>
    <t>Energy leech</t>
  </si>
  <si>
    <t>Stun</t>
  </si>
  <si>
    <t>Energy buff</t>
  </si>
  <si>
    <t>Qqc -def -spd +atk</t>
  </si>
  <si>
    <t>Atk/balance</t>
  </si>
  <si>
    <t>Kamikaze</t>
  </si>
  <si>
    <t>Self</t>
  </si>
  <si>
    <t>SelfTemp</t>
  </si>
  <si>
    <t>DIrect</t>
  </si>
  <si>
    <t>dmg</t>
  </si>
  <si>
    <t>def</t>
  </si>
  <si>
    <t>rtl</t>
  </si>
  <si>
    <t>hp</t>
  </si>
  <si>
    <t>stn</t>
  </si>
  <si>
    <t>spd</t>
  </si>
  <si>
    <t>enr</t>
  </si>
  <si>
    <t>stun</t>
  </si>
  <si>
    <t>standard</t>
  </si>
  <si>
    <t>low</t>
  </si>
  <si>
    <t>high</t>
  </si>
  <si>
    <t>moy / mana</t>
  </si>
  <si>
    <t>moy sur 5 round</t>
  </si>
  <si>
    <t>residuel de mana</t>
  </si>
  <si>
    <t>moy point</t>
  </si>
  <si>
    <t>moy efficacité sur 5 round</t>
  </si>
  <si>
    <t>score avec residuel (Efficacité)</t>
  </si>
  <si>
    <t>Impact</t>
  </si>
  <si>
    <t>impact^eff</t>
  </si>
  <si>
    <t>Total</t>
  </si>
  <si>
    <t>eff^impact</t>
  </si>
  <si>
    <t>Explosion / 3</t>
  </si>
  <si>
    <t>Cleave / 2</t>
  </si>
  <si>
    <t>rol</t>
  </si>
  <si>
    <t>TempTeam</t>
  </si>
  <si>
    <t>enrg</t>
  </si>
  <si>
    <t>roll</t>
  </si>
  <si>
    <t>Offensive</t>
  </si>
  <si>
    <t>Defensive</t>
  </si>
  <si>
    <t>SelfDirect</t>
  </si>
  <si>
    <t>Mage</t>
  </si>
  <si>
    <t>Berserker</t>
  </si>
  <si>
    <t>Assassin</t>
  </si>
  <si>
    <t>Wizard</t>
  </si>
  <si>
    <t>Shaman</t>
  </si>
  <si>
    <t>Basic</t>
  </si>
  <si>
    <t>Class</t>
  </si>
  <si>
    <t>Type</t>
  </si>
  <si>
    <t>Energy cost</t>
  </si>
  <si>
    <t>Nb. Targets</t>
  </si>
  <si>
    <t>High initiative</t>
  </si>
  <si>
    <t>Standard</t>
  </si>
  <si>
    <t>Low initiative</t>
  </si>
  <si>
    <t>Nb</t>
  </si>
  <si>
    <t>Turns</t>
  </si>
  <si>
    <t>%</t>
  </si>
  <si>
    <t>Heal Over Time</t>
  </si>
  <si>
    <t>Give speed</t>
  </si>
  <si>
    <t>Call Beasts</t>
  </si>
  <si>
    <t>Mini Poison</t>
  </si>
  <si>
    <t>Attack Balance</t>
  </si>
  <si>
    <t>Gros Poison</t>
  </si>
  <si>
    <t>Give Roll</t>
  </si>
  <si>
    <t>Stat</t>
  </si>
  <si>
    <t>RANGER</t>
  </si>
  <si>
    <t>FIGHTER</t>
  </si>
  <si>
    <t>Shield / Retal</t>
  </si>
  <si>
    <t>Attack Stun</t>
  </si>
  <si>
    <t>Maniac</t>
  </si>
  <si>
    <t>Mini Heal</t>
  </si>
  <si>
    <t>Enleve Def</t>
  </si>
  <si>
    <t>Grosse Fireball</t>
  </si>
  <si>
    <t>Energy Buff</t>
  </si>
  <si>
    <t>Enleve energy</t>
  </si>
  <si>
    <t>Critical Chance</t>
  </si>
  <si>
    <t>Initiative</t>
  </si>
  <si>
    <t>Total dmg</t>
  </si>
  <si>
    <t>Moy / Mana</t>
  </si>
  <si>
    <t>Total point 10 round</t>
  </si>
  <si>
    <t>Score Impact Direct</t>
  </si>
  <si>
    <t>Score Impact sur 10 rounds</t>
  </si>
  <si>
    <t>Score efficacité</t>
  </si>
  <si>
    <t>Total score</t>
  </si>
  <si>
    <t>Nb with crit chance</t>
  </si>
  <si>
    <t>NbCrit with turns</t>
  </si>
  <si>
    <t>Number times on 10 rounds</t>
  </si>
  <si>
    <t>Final Score Standard</t>
  </si>
  <si>
    <t>Nb quick</t>
  </si>
  <si>
    <t>NbQuick with turns</t>
  </si>
  <si>
    <t>Quick Stab</t>
  </si>
  <si>
    <t>Score Init</t>
  </si>
  <si>
    <t>Final Score Quick</t>
  </si>
  <si>
    <t>init</t>
  </si>
  <si>
    <t>Ninja Army</t>
  </si>
  <si>
    <t>crit</t>
  </si>
  <si>
    <t>same</t>
  </si>
  <si>
    <t>Strike</t>
  </si>
  <si>
    <t>Pummel</t>
  </si>
  <si>
    <t>Creature</t>
  </si>
  <si>
    <t>Brawler</t>
  </si>
  <si>
    <t>Scoundrel</t>
  </si>
  <si>
    <t>Sorcerer</t>
  </si>
  <si>
    <t>Mercenary</t>
  </si>
  <si>
    <t>Warlord</t>
  </si>
  <si>
    <t>Trickster</t>
  </si>
  <si>
    <t>Necromancer</t>
  </si>
  <si>
    <t>Heavy Strike</t>
  </si>
  <si>
    <t>Guard</t>
  </si>
  <si>
    <t>Protective Slam</t>
  </si>
  <si>
    <t>Enraged Charge</t>
  </si>
  <si>
    <t>Chain Slash</t>
  </si>
  <si>
    <t>Thundering Seal</t>
  </si>
  <si>
    <t>Crushing Stomp</t>
  </si>
  <si>
    <t>Restorative Gush</t>
  </si>
  <si>
    <t>Psycho Rush</t>
  </si>
  <si>
    <t>Rejuvenate</t>
  </si>
  <si>
    <t>Lightning Bolt</t>
  </si>
  <si>
    <t>Meteor</t>
  </si>
  <si>
    <t>Engulfing Flames</t>
  </si>
  <si>
    <t>Ice Spear</t>
  </si>
  <si>
    <t>Revenant Guards</t>
  </si>
  <si>
    <t>Crazed Specters</t>
  </si>
  <si>
    <t>Summon Minions</t>
  </si>
  <si>
    <t>Noxious Cure</t>
  </si>
  <si>
    <t>Restoring Burst</t>
  </si>
  <si>
    <t>Healing Screech</t>
  </si>
  <si>
    <t>Toxic Waves</t>
  </si>
  <si>
    <t>Poison Slash</t>
  </si>
  <si>
    <t>Throwing Star</t>
  </si>
  <si>
    <t>Momentum</t>
  </si>
  <si>
    <t>Death Squad</t>
  </si>
  <si>
    <t>Mortal Wound</t>
  </si>
  <si>
    <t xml:space="preserve"> </t>
  </si>
  <si>
    <t>l</t>
  </si>
  <si>
    <t>Parasite Jab</t>
  </si>
  <si>
    <t>Soul Devourer</t>
  </si>
  <si>
    <t>Tranquilizer Dart</t>
  </si>
  <si>
    <t>Infectious Blast</t>
  </si>
  <si>
    <t>Hateful Sacrifice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</si>
</sst>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6666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rgb="FFC45B0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darkUp"/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Border="1"/>
    <xf numFmtId="0" fontId="0" fillId="0" borderId="10" xfId="0" applyBorder="1"/>
    <xf numFmtId="0" fontId="0" fillId="0" borderId="11" xfId="0" applyBorder="1"/>
    <xf numFmtId="0" fontId="0" fillId="0" borderId="0" xfId="0" applyFill="1" applyBorder="1"/>
    <xf numFmtId="0" fontId="0" fillId="2" borderId="8" xfId="0" applyFill="1" applyBorder="1"/>
    <xf numFmtId="0" fontId="0" fillId="2" borderId="2" xfId="0" applyFill="1" applyBorder="1"/>
    <xf numFmtId="0" fontId="0" fillId="2" borderId="5" xfId="0" applyFill="1" applyBorder="1"/>
    <xf numFmtId="0" fontId="0" fillId="2" borderId="0" xfId="0" applyFill="1" applyBorder="1"/>
    <xf numFmtId="0" fontId="0" fillId="0" borderId="0" xfId="0" applyFill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9" xfId="0" applyFill="1" applyBorder="1"/>
    <xf numFmtId="0" fontId="0" fillId="6" borderId="1" xfId="0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10" xfId="0" applyFill="1" applyBorder="1"/>
    <xf numFmtId="0" fontId="0" fillId="6" borderId="0" xfId="0" applyFill="1" applyBorder="1"/>
    <xf numFmtId="0" fontId="0" fillId="6" borderId="11" xfId="0" applyFill="1" applyBorder="1"/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/>
    <xf numFmtId="0" fontId="0" fillId="6" borderId="9" xfId="0" applyFill="1" applyBorder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7" borderId="7" xfId="0" applyFill="1" applyBorder="1"/>
    <xf numFmtId="0" fontId="0" fillId="7" borderId="8" xfId="0" applyFill="1" applyBorder="1"/>
    <xf numFmtId="0" fontId="0" fillId="7" borderId="9" xfId="0" applyFill="1" applyBorder="1"/>
    <xf numFmtId="0" fontId="0" fillId="7" borderId="10" xfId="0" applyFill="1" applyBorder="1"/>
    <xf numFmtId="0" fontId="0" fillId="7" borderId="0" xfId="0" applyFill="1" applyBorder="1"/>
    <xf numFmtId="0" fontId="0" fillId="7" borderId="0" xfId="0" quotePrefix="1" applyFill="1" applyBorder="1"/>
    <xf numFmtId="0" fontId="0" fillId="7" borderId="11" xfId="0" applyFill="1" applyBorder="1"/>
    <xf numFmtId="0" fontId="0" fillId="7" borderId="5" xfId="0" quotePrefix="1" applyFill="1" applyBorder="1"/>
    <xf numFmtId="0" fontId="0" fillId="8" borderId="7" xfId="0" applyFill="1" applyBorder="1"/>
    <xf numFmtId="0" fontId="0" fillId="8" borderId="8" xfId="0" applyFill="1" applyBorder="1"/>
    <xf numFmtId="0" fontId="0" fillId="8" borderId="9" xfId="0" applyFill="1" applyBorder="1"/>
    <xf numFmtId="0" fontId="0" fillId="8" borderId="1" xfId="0" applyFill="1" applyBorder="1"/>
    <xf numFmtId="0" fontId="0" fillId="8" borderId="2" xfId="0" applyFill="1" applyBorder="1"/>
    <xf numFmtId="0" fontId="0" fillId="8" borderId="3" xfId="0" applyFill="1" applyBorder="1"/>
    <xf numFmtId="0" fontId="0" fillId="8" borderId="4" xfId="0" applyFill="1" applyBorder="1"/>
    <xf numFmtId="0" fontId="0" fillId="8" borderId="5" xfId="0" applyFill="1" applyBorder="1"/>
    <xf numFmtId="0" fontId="0" fillId="8" borderId="6" xfId="0" applyFill="1" applyBorder="1"/>
    <xf numFmtId="0" fontId="0" fillId="9" borderId="1" xfId="0" applyFill="1" applyBorder="1"/>
    <xf numFmtId="0" fontId="0" fillId="9" borderId="2" xfId="0" applyFill="1" applyBorder="1"/>
    <xf numFmtId="0" fontId="0" fillId="9" borderId="3" xfId="0" applyFill="1" applyBorder="1"/>
    <xf numFmtId="0" fontId="0" fillId="9" borderId="4" xfId="0" applyFill="1" applyBorder="1"/>
    <xf numFmtId="0" fontId="0" fillId="9" borderId="5" xfId="0" applyFill="1" applyBorder="1"/>
    <xf numFmtId="0" fontId="0" fillId="9" borderId="6" xfId="0" applyFill="1" applyBorder="1"/>
    <xf numFmtId="0" fontId="0" fillId="9" borderId="10" xfId="0" applyFill="1" applyBorder="1"/>
    <xf numFmtId="0" fontId="0" fillId="9" borderId="0" xfId="0" applyFill="1" applyBorder="1"/>
    <xf numFmtId="0" fontId="0" fillId="9" borderId="11" xfId="0" applyFill="1" applyBorder="1"/>
    <xf numFmtId="0" fontId="0" fillId="10" borderId="1" xfId="0" applyFill="1" applyBorder="1"/>
    <xf numFmtId="0" fontId="0" fillId="10" borderId="2" xfId="0" applyFill="1" applyBorder="1"/>
    <xf numFmtId="0" fontId="0" fillId="10" borderId="3" xfId="0" applyFill="1" applyBorder="1"/>
    <xf numFmtId="0" fontId="0" fillId="10" borderId="4" xfId="0" applyFill="1" applyBorder="1"/>
    <xf numFmtId="0" fontId="0" fillId="10" borderId="5" xfId="0" applyFill="1" applyBorder="1"/>
    <xf numFmtId="0" fontId="0" fillId="10" borderId="6" xfId="0" applyFill="1" applyBorder="1"/>
    <xf numFmtId="0" fontId="0" fillId="12" borderId="7" xfId="0" applyFill="1" applyBorder="1"/>
    <xf numFmtId="0" fontId="0" fillId="12" borderId="8" xfId="0" applyFill="1" applyBorder="1"/>
    <xf numFmtId="0" fontId="0" fillId="12" borderId="9" xfId="0" applyFill="1" applyBorder="1"/>
    <xf numFmtId="0" fontId="0" fillId="13" borderId="1" xfId="0" applyFill="1" applyBorder="1"/>
    <xf numFmtId="0" fontId="0" fillId="13" borderId="2" xfId="0" applyFill="1" applyBorder="1"/>
    <xf numFmtId="0" fontId="0" fillId="13" borderId="3" xfId="0" applyFill="1" applyBorder="1"/>
    <xf numFmtId="0" fontId="0" fillId="13" borderId="4" xfId="0" applyFill="1" applyBorder="1"/>
    <xf numFmtId="0" fontId="0" fillId="13" borderId="5" xfId="0" applyFill="1" applyBorder="1"/>
    <xf numFmtId="0" fontId="0" fillId="13" borderId="6" xfId="0" applyFill="1" applyBorder="1"/>
    <xf numFmtId="0" fontId="0" fillId="4" borderId="0" xfId="0" applyFill="1" applyBorder="1"/>
    <xf numFmtId="0" fontId="0" fillId="12" borderId="0" xfId="0" applyFill="1" applyBorder="1"/>
    <xf numFmtId="0" fontId="0" fillId="13" borderId="0" xfId="0" applyFill="1" applyBorder="1"/>
    <xf numFmtId="0" fontId="0" fillId="4" borderId="10" xfId="0" applyFill="1" applyBorder="1"/>
    <xf numFmtId="0" fontId="0" fillId="4" borderId="11" xfId="0" applyFill="1" applyBorder="1"/>
    <xf numFmtId="0" fontId="0" fillId="5" borderId="1" xfId="0" applyFill="1" applyBorder="1"/>
    <xf numFmtId="0" fontId="0" fillId="5" borderId="2" xfId="0" applyFill="1" applyBorder="1"/>
    <xf numFmtId="0" fontId="0" fillId="5" borderId="3" xfId="0" applyFill="1" applyBorder="1"/>
    <xf numFmtId="0" fontId="0" fillId="12" borderId="1" xfId="0" applyFill="1" applyBorder="1"/>
    <xf numFmtId="0" fontId="0" fillId="12" borderId="2" xfId="0" applyFill="1" applyBorder="1"/>
    <xf numFmtId="0" fontId="0" fillId="12" borderId="3" xfId="0" applyFill="1" applyBorder="1"/>
    <xf numFmtId="0" fontId="0" fillId="12" borderId="10" xfId="0" applyFill="1" applyBorder="1"/>
    <xf numFmtId="0" fontId="0" fillId="12" borderId="11" xfId="0" applyFill="1" applyBorder="1"/>
    <xf numFmtId="0" fontId="0" fillId="11" borderId="4" xfId="0" applyFill="1" applyBorder="1"/>
    <xf numFmtId="0" fontId="0" fillId="11" borderId="5" xfId="0" applyFill="1" applyBorder="1"/>
    <xf numFmtId="0" fontId="0" fillId="11" borderId="6" xfId="0" applyFill="1" applyBorder="1"/>
    <xf numFmtId="0" fontId="0" fillId="14" borderId="4" xfId="0" applyFill="1" applyBorder="1"/>
    <xf numFmtId="0" fontId="0" fillId="14" borderId="5" xfId="0" applyFill="1" applyBorder="1"/>
    <xf numFmtId="0" fontId="0" fillId="12" borderId="0" xfId="0" quotePrefix="1" applyFill="1" applyBorder="1"/>
    <xf numFmtId="0" fontId="0" fillId="14" borderId="0" xfId="0" applyFill="1" applyBorder="1"/>
    <xf numFmtId="0" fontId="0" fillId="14" borderId="1" xfId="0" applyFill="1" applyBorder="1"/>
    <xf numFmtId="0" fontId="0" fillId="14" borderId="2" xfId="0" applyFill="1" applyBorder="1"/>
    <xf numFmtId="0" fontId="0" fillId="14" borderId="2" xfId="0" quotePrefix="1" applyFill="1" applyBorder="1"/>
    <xf numFmtId="0" fontId="0" fillId="14" borderId="3" xfId="0" applyFill="1" applyBorder="1"/>
    <xf numFmtId="0" fontId="0" fillId="11" borderId="1" xfId="0" applyFill="1" applyBorder="1"/>
    <xf numFmtId="0" fontId="0" fillId="11" borderId="2" xfId="0" applyFill="1" applyBorder="1"/>
    <xf numFmtId="0" fontId="0" fillId="11" borderId="3" xfId="0" applyFill="1" applyBorder="1"/>
    <xf numFmtId="0" fontId="0" fillId="0" borderId="0" xfId="0" quotePrefix="1" applyFill="1" applyBorder="1"/>
    <xf numFmtId="0" fontId="0" fillId="14" borderId="1" xfId="0" quotePrefix="1" applyFill="1" applyBorder="1"/>
    <xf numFmtId="0" fontId="0" fillId="13" borderId="10" xfId="0" applyFill="1" applyBorder="1"/>
    <xf numFmtId="0" fontId="0" fillId="13" borderId="0" xfId="0" quotePrefix="1" applyFill="1" applyBorder="1"/>
    <xf numFmtId="0" fontId="0" fillId="13" borderId="11" xfId="0" applyFill="1" applyBorder="1"/>
    <xf numFmtId="0" fontId="0" fillId="14" borderId="10" xfId="0" applyFill="1" applyBorder="1"/>
    <xf numFmtId="2" fontId="0" fillId="0" borderId="0" xfId="0" applyNumberFormat="1"/>
    <xf numFmtId="0" fontId="0" fillId="0" borderId="13" xfId="0" applyBorder="1"/>
    <xf numFmtId="2" fontId="0" fillId="0" borderId="15" xfId="0" applyNumberFormat="1" applyBorder="1"/>
    <xf numFmtId="0" fontId="0" fillId="0" borderId="21" xfId="0" applyBorder="1"/>
    <xf numFmtId="0" fontId="0" fillId="0" borderId="22" xfId="0" applyBorder="1"/>
    <xf numFmtId="0" fontId="1" fillId="15" borderId="14" xfId="0" applyFont="1" applyFill="1" applyBorder="1"/>
    <xf numFmtId="2" fontId="1" fillId="15" borderId="15" xfId="0" applyNumberFormat="1" applyFont="1" applyFill="1" applyBorder="1"/>
    <xf numFmtId="0" fontId="1" fillId="15" borderId="13" xfId="0" applyFont="1" applyFill="1" applyBorder="1"/>
    <xf numFmtId="0" fontId="3" fillId="15" borderId="13" xfId="0" applyFont="1" applyFill="1" applyBorder="1" applyAlignment="1"/>
    <xf numFmtId="0" fontId="1" fillId="15" borderId="26" xfId="0" applyFont="1" applyFill="1" applyBorder="1"/>
    <xf numFmtId="0" fontId="3" fillId="15" borderId="26" xfId="0" applyFont="1" applyFill="1" applyBorder="1" applyAlignment="1"/>
    <xf numFmtId="0" fontId="3" fillId="15" borderId="28" xfId="0" applyFont="1" applyFill="1" applyBorder="1" applyAlignment="1"/>
    <xf numFmtId="0" fontId="3" fillId="15" borderId="29" xfId="0" applyFont="1" applyFill="1" applyBorder="1" applyAlignment="1"/>
    <xf numFmtId="0" fontId="0" fillId="0" borderId="30" xfId="0" applyBorder="1"/>
    <xf numFmtId="2" fontId="0" fillId="0" borderId="31" xfId="0" applyNumberFormat="1" applyBorder="1"/>
    <xf numFmtId="0" fontId="5" fillId="0" borderId="22" xfId="0" applyFont="1" applyBorder="1"/>
    <xf numFmtId="0" fontId="5" fillId="0" borderId="30" xfId="0" applyFont="1" applyBorder="1"/>
    <xf numFmtId="0" fontId="0" fillId="0" borderId="26" xfId="0" applyBorder="1"/>
    <xf numFmtId="0" fontId="5" fillId="0" borderId="14" xfId="0" applyFont="1" applyBorder="1"/>
    <xf numFmtId="0" fontId="5" fillId="17" borderId="26" xfId="0" applyFont="1" applyFill="1" applyBorder="1"/>
    <xf numFmtId="0" fontId="5" fillId="15" borderId="14" xfId="0" applyFont="1" applyFill="1" applyBorder="1"/>
    <xf numFmtId="0" fontId="5" fillId="15" borderId="26" xfId="0" applyFont="1" applyFill="1" applyBorder="1"/>
    <xf numFmtId="2" fontId="0" fillId="0" borderId="0" xfId="0" applyNumberFormat="1" applyBorder="1"/>
    <xf numFmtId="2" fontId="1" fillId="15" borderId="0" xfId="0" applyNumberFormat="1" applyFont="1" applyFill="1" applyBorder="1"/>
    <xf numFmtId="0" fontId="5" fillId="15" borderId="0" xfId="0" applyFont="1" applyFill="1" applyBorder="1"/>
    <xf numFmtId="0" fontId="5" fillId="0" borderId="0" xfId="0" applyFont="1" applyBorder="1"/>
    <xf numFmtId="0" fontId="1" fillId="0" borderId="0" xfId="0" applyFont="1" applyFill="1" applyBorder="1"/>
    <xf numFmtId="0" fontId="4" fillId="0" borderId="0" xfId="0" applyFont="1" applyFill="1" applyBorder="1"/>
    <xf numFmtId="2" fontId="0" fillId="0" borderId="0" xfId="0" applyNumberFormat="1" applyFill="1" applyBorder="1"/>
    <xf numFmtId="2" fontId="1" fillId="0" borderId="0" xfId="0" applyNumberFormat="1" applyFont="1" applyFill="1" applyBorder="1"/>
    <xf numFmtId="0" fontId="5" fillId="0" borderId="0" xfId="0" applyFont="1" applyFill="1" applyBorder="1"/>
    <xf numFmtId="0" fontId="3" fillId="0" borderId="0" xfId="0" applyFont="1" applyFill="1" applyBorder="1" applyAlignment="1"/>
    <xf numFmtId="0" fontId="3" fillId="0" borderId="0" xfId="0" applyFont="1" applyFill="1" applyBorder="1" applyAlignment="1">
      <alignment horizontal="center"/>
    </xf>
    <xf numFmtId="0" fontId="2" fillId="0" borderId="0" xfId="0" applyFont="1" applyFill="1" applyBorder="1" applyAlignment="1"/>
    <xf numFmtId="0" fontId="3" fillId="0" borderId="0" xfId="0" applyFont="1" applyBorder="1" applyAlignment="1">
      <alignment horizontal="center"/>
    </xf>
    <xf numFmtId="0" fontId="0" fillId="15" borderId="0" xfId="0" applyFill="1" applyBorder="1"/>
    <xf numFmtId="2" fontId="0" fillId="15" borderId="0" xfId="0" applyNumberFormat="1" applyFill="1" applyBorder="1"/>
    <xf numFmtId="0" fontId="0" fillId="15" borderId="0" xfId="0" applyFill="1"/>
    <xf numFmtId="0" fontId="0" fillId="16" borderId="0" xfId="0" applyFill="1"/>
    <xf numFmtId="2" fontId="0" fillId="16" borderId="0" xfId="0" applyNumberFormat="1" applyFill="1"/>
    <xf numFmtId="2" fontId="0" fillId="0" borderId="0" xfId="0" applyNumberFormat="1" applyFill="1"/>
    <xf numFmtId="2" fontId="0" fillId="15" borderId="0" xfId="0" applyNumberFormat="1" applyFill="1"/>
    <xf numFmtId="0" fontId="3" fillId="15" borderId="0" xfId="0" applyFont="1" applyFill="1" applyBorder="1" applyAlignment="1">
      <alignment horizontal="center"/>
    </xf>
    <xf numFmtId="0" fontId="0" fillId="0" borderId="32" xfId="0" applyBorder="1"/>
    <xf numFmtId="0" fontId="5" fillId="17" borderId="7" xfId="0" applyFont="1" applyFill="1" applyBorder="1"/>
    <xf numFmtId="0" fontId="5" fillId="0" borderId="32" xfId="0" applyFont="1" applyBorder="1"/>
    <xf numFmtId="0" fontId="5" fillId="17" borderId="15" xfId="0" applyFont="1" applyFill="1" applyBorder="1"/>
    <xf numFmtId="0" fontId="5" fillId="17" borderId="8" xfId="0" applyFont="1" applyFill="1" applyBorder="1"/>
    <xf numFmtId="0" fontId="3" fillId="15" borderId="15" xfId="0" applyFont="1" applyFill="1" applyBorder="1" applyAlignment="1"/>
    <xf numFmtId="0" fontId="5" fillId="17" borderId="30" xfId="0" applyFont="1" applyFill="1" applyBorder="1"/>
    <xf numFmtId="0" fontId="0" fillId="0" borderId="0" xfId="0" applyFont="1" applyFill="1" applyBorder="1"/>
    <xf numFmtId="2" fontId="0" fillId="0" borderId="0" xfId="0" applyNumberFormat="1" applyFont="1" applyFill="1" applyBorder="1"/>
    <xf numFmtId="0" fontId="6" fillId="0" borderId="0" xfId="0" applyFont="1" applyFill="1" applyBorder="1" applyAlignment="1"/>
    <xf numFmtId="0" fontId="5" fillId="17" borderId="4" xfId="0" applyFont="1" applyFill="1" applyBorder="1"/>
    <xf numFmtId="0" fontId="5" fillId="17" borderId="31" xfId="0" applyFont="1" applyFill="1" applyBorder="1"/>
    <xf numFmtId="0" fontId="5" fillId="0" borderId="33" xfId="0" applyFont="1" applyBorder="1"/>
    <xf numFmtId="0" fontId="5" fillId="15" borderId="15" xfId="0" applyFont="1" applyFill="1" applyBorder="1"/>
    <xf numFmtId="0" fontId="5" fillId="0" borderId="13" xfId="0" applyFont="1" applyBorder="1"/>
    <xf numFmtId="0" fontId="5" fillId="0" borderId="21" xfId="0" applyFont="1" applyBorder="1"/>
    <xf numFmtId="0" fontId="5" fillId="0" borderId="31" xfId="0" applyFont="1" applyBorder="1"/>
    <xf numFmtId="0" fontId="1" fillId="15" borderId="21" xfId="0" applyFont="1" applyFill="1" applyBorder="1"/>
    <xf numFmtId="0" fontId="1" fillId="15" borderId="30" xfId="0" applyFont="1" applyFill="1" applyBorder="1"/>
    <xf numFmtId="0" fontId="5" fillId="15" borderId="22" xfId="0" applyFont="1" applyFill="1" applyBorder="1"/>
    <xf numFmtId="0" fontId="5" fillId="15" borderId="31" xfId="0" applyFont="1" applyFill="1" applyBorder="1"/>
    <xf numFmtId="0" fontId="5" fillId="15" borderId="21" xfId="0" applyFont="1" applyFill="1" applyBorder="1"/>
    <xf numFmtId="0" fontId="5" fillId="15" borderId="30" xfId="0" applyFont="1" applyFill="1" applyBorder="1"/>
    <xf numFmtId="0" fontId="1" fillId="0" borderId="0" xfId="0" applyFont="1"/>
    <xf numFmtId="2" fontId="1" fillId="0" borderId="0" xfId="0" applyNumberFormat="1" applyFont="1"/>
    <xf numFmtId="0" fontId="1" fillId="0" borderId="0" xfId="0" applyFont="1" applyFill="1" applyBorder="1" applyAlignment="1"/>
    <xf numFmtId="0" fontId="1" fillId="15" borderId="27" xfId="0" applyFont="1" applyFill="1" applyBorder="1" applyAlignment="1">
      <alignment horizontal="center"/>
    </xf>
    <xf numFmtId="0" fontId="1" fillId="15" borderId="36" xfId="0" applyFont="1" applyFill="1" applyBorder="1" applyAlignment="1">
      <alignment horizontal="center"/>
    </xf>
    <xf numFmtId="0" fontId="0" fillId="0" borderId="37" xfId="0" applyBorder="1"/>
    <xf numFmtId="0" fontId="0" fillId="0" borderId="38" xfId="0" applyBorder="1"/>
    <xf numFmtId="0" fontId="5" fillId="0" borderId="39" xfId="0" applyFont="1" applyBorder="1"/>
    <xf numFmtId="0" fontId="5" fillId="0" borderId="40" xfId="0" applyFont="1" applyBorder="1"/>
    <xf numFmtId="0" fontId="0" fillId="0" borderId="28" xfId="0" applyBorder="1"/>
    <xf numFmtId="0" fontId="0" fillId="0" borderId="29" xfId="0" applyBorder="1"/>
    <xf numFmtId="0" fontId="5" fillId="17" borderId="29" xfId="0" applyFont="1" applyFill="1" applyBorder="1"/>
    <xf numFmtId="0" fontId="5" fillId="0" borderId="41" xfId="0" applyFont="1" applyBorder="1"/>
    <xf numFmtId="0" fontId="5" fillId="17" borderId="38" xfId="0" applyFont="1" applyFill="1" applyBorder="1"/>
    <xf numFmtId="0" fontId="5" fillId="17" borderId="1" xfId="0" applyFont="1" applyFill="1" applyBorder="1"/>
    <xf numFmtId="9" fontId="5" fillId="0" borderId="22" xfId="0" applyNumberFormat="1" applyFont="1" applyBorder="1"/>
    <xf numFmtId="0" fontId="4" fillId="0" borderId="19" xfId="0" applyFont="1" applyFill="1" applyBorder="1" applyAlignment="1">
      <alignment horizontal="center"/>
    </xf>
    <xf numFmtId="0" fontId="4" fillId="0" borderId="20" xfId="0" applyFont="1" applyFill="1" applyBorder="1" applyAlignment="1">
      <alignment horizontal="center"/>
    </xf>
    <xf numFmtId="0" fontId="4" fillId="0" borderId="12" xfId="0" applyFont="1" applyFill="1" applyBorder="1" applyAlignment="1">
      <alignment horizontal="center"/>
    </xf>
    <xf numFmtId="0" fontId="4" fillId="0" borderId="17" xfId="0" applyFont="1" applyFill="1" applyBorder="1" applyAlignment="1">
      <alignment horizontal="center"/>
    </xf>
    <xf numFmtId="0" fontId="1" fillId="15" borderId="16" xfId="0" applyFont="1" applyFill="1" applyBorder="1" applyAlignment="1">
      <alignment horizontal="center"/>
    </xf>
    <xf numFmtId="0" fontId="1" fillId="15" borderId="12" xfId="0" applyFont="1" applyFill="1" applyBorder="1" applyAlignment="1">
      <alignment horizontal="center"/>
    </xf>
    <xf numFmtId="0" fontId="1" fillId="15" borderId="18" xfId="0" applyFont="1" applyFill="1" applyBorder="1" applyAlignment="1">
      <alignment horizontal="center"/>
    </xf>
    <xf numFmtId="0" fontId="1" fillId="15" borderId="19" xfId="0" applyFont="1" applyFill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1" fillId="15" borderId="23" xfId="0" applyFont="1" applyFill="1" applyBorder="1" applyAlignment="1">
      <alignment horizontal="center"/>
    </xf>
    <xf numFmtId="0" fontId="1" fillId="15" borderId="34" xfId="0" applyFont="1" applyFill="1" applyBorder="1" applyAlignment="1">
      <alignment horizontal="center"/>
    </xf>
    <xf numFmtId="0" fontId="4" fillId="0" borderId="27" xfId="0" applyFont="1" applyFill="1" applyBorder="1" applyAlignment="1">
      <alignment horizontal="center"/>
    </xf>
    <xf numFmtId="0" fontId="4" fillId="0" borderId="36" xfId="0" applyFont="1" applyFill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5" fillId="17" borderId="12" xfId="0" applyFont="1" applyFill="1" applyBorder="1" applyAlignment="1">
      <alignment horizontal="center"/>
    </xf>
    <xf numFmtId="0" fontId="4" fillId="0" borderId="35" xfId="0" applyFont="1" applyFill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5" fillId="17" borderId="19" xfId="0" applyFont="1" applyFill="1" applyBorder="1" applyAlignment="1">
      <alignment horizontal="center"/>
    </xf>
    <xf numFmtId="0" fontId="5" fillId="17" borderId="20" xfId="0" applyFont="1" applyFill="1" applyBorder="1" applyAlignment="1">
      <alignment horizontal="center"/>
    </xf>
    <xf numFmtId="0" fontId="5" fillId="17" borderId="17" xfId="0" applyFont="1" applyFill="1" applyBorder="1" applyAlignment="1">
      <alignment horizontal="center"/>
    </xf>
    <xf numFmtId="2" fontId="4" fillId="0" borderId="19" xfId="0" applyNumberFormat="1" applyFont="1" applyFill="1" applyBorder="1" applyAlignment="1">
      <alignment horizontal="center"/>
    </xf>
    <xf numFmtId="2" fontId="4" fillId="0" borderId="35" xfId="0" applyNumberFormat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0000"/>
      <color rgb="FFC45B04"/>
      <color rgb="FFCC3300"/>
      <color rgb="FFFF3300"/>
      <color rgb="FF008080"/>
      <color rgb="FFFF9999"/>
      <color rgb="FF339966"/>
      <color rgb="FF6666FF"/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3CB8B-4FE3-42C2-83DF-63B1310D5DD9}">
  <sheetPr>
    <pageSetUpPr fitToPage="1"/>
  </sheetPr>
  <dimension ref="A3:AC56"/>
  <sheetViews>
    <sheetView topLeftCell="A28" workbookViewId="0">
      <selection activeCell="R25" sqref="R25"/>
    </sheetView>
  </sheetViews>
  <sheetFormatPr defaultRowHeight="15" x14ac:dyDescent="0.25"/>
  <sheetData>
    <row r="3" spans="2:15" ht="15.75" x14ac:dyDescent="0.25">
      <c r="B3" s="213" t="str">
        <f>References!$F$2</f>
        <v>Name</v>
      </c>
      <c r="C3" s="213"/>
      <c r="D3" s="218" t="s">
        <v>4</v>
      </c>
      <c r="E3" s="218"/>
      <c r="G3" s="213" t="str">
        <f>References!$F$2</f>
        <v>Name</v>
      </c>
      <c r="H3" s="213"/>
      <c r="I3" s="218" t="s">
        <v>132</v>
      </c>
      <c r="J3" s="218"/>
      <c r="L3" s="213" t="str">
        <f>References!$F$2</f>
        <v>Name</v>
      </c>
      <c r="M3" s="213"/>
      <c r="N3" s="218" t="s">
        <v>142</v>
      </c>
      <c r="O3" s="218"/>
    </row>
    <row r="4" spans="2:15" ht="15.75" x14ac:dyDescent="0.25">
      <c r="B4" s="213" t="str">
        <f>References!$F$3</f>
        <v>Class</v>
      </c>
      <c r="C4" s="213"/>
      <c r="D4" s="218" t="str">
        <f>References!$E$2</f>
        <v>Creature</v>
      </c>
      <c r="E4" s="218"/>
      <c r="G4" s="213" t="str">
        <f>References!$F$3</f>
        <v>Class</v>
      </c>
      <c r="H4" s="213"/>
      <c r="I4" s="218" t="str">
        <f>References!$E$2</f>
        <v>Creature</v>
      </c>
      <c r="J4" s="218"/>
      <c r="L4" s="213" t="str">
        <f>References!$F$3</f>
        <v>Class</v>
      </c>
      <c r="M4" s="213"/>
      <c r="N4" s="218" t="str">
        <f>References!$E$2</f>
        <v>Creature</v>
      </c>
      <c r="O4" s="218"/>
    </row>
    <row r="5" spans="2:15" ht="15.75" x14ac:dyDescent="0.25">
      <c r="B5" s="213" t="str">
        <f>References!$F$4</f>
        <v>Type</v>
      </c>
      <c r="C5" s="213"/>
      <c r="D5" s="229"/>
      <c r="E5" s="229"/>
      <c r="G5" s="213" t="str">
        <f>References!$F$4</f>
        <v>Type</v>
      </c>
      <c r="H5" s="213"/>
      <c r="I5" s="218" t="str">
        <f>References!$B$2</f>
        <v>Offensive</v>
      </c>
      <c r="J5" s="218"/>
      <c r="L5" s="213" t="str">
        <f>References!$F$4</f>
        <v>Type</v>
      </c>
      <c r="M5" s="213"/>
      <c r="N5" s="218" t="str">
        <f>References!$B$2</f>
        <v>Offensive</v>
      </c>
      <c r="O5" s="218"/>
    </row>
    <row r="6" spans="2:15" ht="15.75" x14ac:dyDescent="0.25">
      <c r="B6" s="213" t="str">
        <f>References!$F$5</f>
        <v>Nb. Targets</v>
      </c>
      <c r="C6" s="213"/>
      <c r="D6" s="229"/>
      <c r="E6" s="229"/>
      <c r="G6" s="213" t="str">
        <f>References!$F$5</f>
        <v>Nb. Targets</v>
      </c>
      <c r="H6" s="213"/>
      <c r="I6" s="218">
        <v>1</v>
      </c>
      <c r="J6" s="218"/>
      <c r="L6" s="213" t="str">
        <f>References!$F$5</f>
        <v>Nb. Targets</v>
      </c>
      <c r="M6" s="213"/>
      <c r="N6" s="218">
        <v>1</v>
      </c>
      <c r="O6" s="218"/>
    </row>
    <row r="7" spans="2:15" ht="15.75" x14ac:dyDescent="0.25">
      <c r="B7" s="213" t="str">
        <f>References!$F$6</f>
        <v>Energy cost</v>
      </c>
      <c r="C7" s="213"/>
      <c r="D7" s="218">
        <v>0</v>
      </c>
      <c r="E7" s="218"/>
      <c r="G7" s="213" t="str">
        <f>References!$F$6</f>
        <v>Energy cost</v>
      </c>
      <c r="H7" s="213"/>
      <c r="I7" s="218">
        <v>1</v>
      </c>
      <c r="J7" s="218"/>
      <c r="L7" s="213" t="str">
        <f>References!$F$6</f>
        <v>Energy cost</v>
      </c>
      <c r="M7" s="213"/>
      <c r="N7" s="218">
        <v>2</v>
      </c>
      <c r="O7" s="218"/>
    </row>
    <row r="8" spans="2:15" ht="15.75" x14ac:dyDescent="0.25">
      <c r="B8" s="213" t="s">
        <v>111</v>
      </c>
      <c r="C8" s="213"/>
      <c r="D8" s="210">
        <v>1</v>
      </c>
      <c r="E8" s="210"/>
      <c r="G8" s="213" t="s">
        <v>111</v>
      </c>
      <c r="H8" s="213"/>
      <c r="I8" s="210">
        <v>1</v>
      </c>
      <c r="J8" s="210"/>
      <c r="L8" s="213" t="s">
        <v>111</v>
      </c>
      <c r="M8" s="213"/>
      <c r="N8" s="210">
        <v>1</v>
      </c>
      <c r="O8" s="210"/>
    </row>
    <row r="9" spans="2:15" ht="15.75" x14ac:dyDescent="0.25">
      <c r="B9" s="213" t="s">
        <v>110</v>
      </c>
      <c r="C9" s="213"/>
      <c r="D9" s="210">
        <v>0</v>
      </c>
      <c r="E9" s="210"/>
      <c r="G9" s="213" t="s">
        <v>110</v>
      </c>
      <c r="H9" s="213"/>
      <c r="I9" s="210">
        <v>0</v>
      </c>
      <c r="J9" s="210"/>
      <c r="L9" s="213" t="s">
        <v>110</v>
      </c>
      <c r="M9" s="213"/>
      <c r="N9" s="210">
        <v>0</v>
      </c>
      <c r="O9" s="210"/>
    </row>
    <row r="10" spans="2:15" ht="16.5" thickBot="1" x14ac:dyDescent="0.3">
      <c r="B10" s="186" t="str">
        <f>References!$G$2</f>
        <v>Type</v>
      </c>
      <c r="C10" s="187" t="str">
        <f>References!$G$3</f>
        <v>Stat</v>
      </c>
      <c r="D10" s="188" t="str">
        <f>References!$G$7</f>
        <v>Nb</v>
      </c>
      <c r="E10" s="189" t="str">
        <f>References!$G$8</f>
        <v>Turns</v>
      </c>
      <c r="G10" s="186" t="str">
        <f>References!$G$2</f>
        <v>Type</v>
      </c>
      <c r="H10" s="187" t="str">
        <f>References!$G$3</f>
        <v>Stat</v>
      </c>
      <c r="I10" s="188" t="str">
        <f>References!$G$7</f>
        <v>Nb</v>
      </c>
      <c r="J10" s="189" t="str">
        <f>References!$G$8</f>
        <v>Turns</v>
      </c>
      <c r="L10" s="186" t="str">
        <f>References!$G$2</f>
        <v>Type</v>
      </c>
      <c r="M10" s="187" t="str">
        <f>References!$G$3</f>
        <v>Stat</v>
      </c>
      <c r="N10" s="190" t="str">
        <f>References!$G$7</f>
        <v>Nb</v>
      </c>
      <c r="O10" s="189" t="str">
        <f>References!$G$8</f>
        <v>Turns</v>
      </c>
    </row>
    <row r="11" spans="2:15" ht="16.5" thickBot="1" x14ac:dyDescent="0.3">
      <c r="B11" s="170"/>
      <c r="C11" s="145"/>
      <c r="D11" s="170"/>
      <c r="E11" s="172"/>
      <c r="G11" s="127" t="str">
        <f>References!$C$2</f>
        <v>Direct</v>
      </c>
      <c r="H11" s="143" t="str">
        <f>References!$A$2</f>
        <v>dmg</v>
      </c>
      <c r="I11" s="144">
        <v>2</v>
      </c>
      <c r="J11" s="172"/>
      <c r="L11" s="127" t="str">
        <f>References!$C$2</f>
        <v>Direct</v>
      </c>
      <c r="M11" s="143" t="str">
        <f>References!$A$2</f>
        <v>dmg</v>
      </c>
      <c r="N11" s="183">
        <v>3</v>
      </c>
      <c r="O11" s="172"/>
    </row>
    <row r="17" spans="2:26" ht="15.75" x14ac:dyDescent="0.25">
      <c r="B17" s="213" t="str">
        <f>References!$F$2</f>
        <v>Name</v>
      </c>
      <c r="C17" s="213"/>
      <c r="D17" s="218" t="s">
        <v>133</v>
      </c>
      <c r="E17" s="218"/>
      <c r="G17" s="213" t="str">
        <f>References!$F$2</f>
        <v>Name</v>
      </c>
      <c r="H17" s="213"/>
      <c r="I17" s="218" t="s">
        <v>143</v>
      </c>
      <c r="J17" s="218"/>
    </row>
    <row r="18" spans="2:26" ht="15.75" x14ac:dyDescent="0.25">
      <c r="B18" s="213" t="str">
        <f>References!$F$3</f>
        <v>Class</v>
      </c>
      <c r="C18" s="213"/>
      <c r="D18" s="218" t="str">
        <f>References!$D$2</f>
        <v>Brawler</v>
      </c>
      <c r="E18" s="218"/>
      <c r="G18" s="213" t="str">
        <f>References!$F$3</f>
        <v>Class</v>
      </c>
      <c r="H18" s="213"/>
      <c r="I18" s="218" t="str">
        <f>References!$D$2</f>
        <v>Brawler</v>
      </c>
      <c r="J18" s="218"/>
    </row>
    <row r="19" spans="2:26" ht="15.75" x14ac:dyDescent="0.25">
      <c r="B19" s="213" t="str">
        <f>References!$F$4</f>
        <v>Type</v>
      </c>
      <c r="C19" s="213"/>
      <c r="D19" s="218" t="str">
        <f>References!$B$2</f>
        <v>Offensive</v>
      </c>
      <c r="E19" s="218"/>
      <c r="G19" s="213" t="str">
        <f>References!$F$4</f>
        <v>Type</v>
      </c>
      <c r="H19" s="213"/>
      <c r="I19" s="218" t="str">
        <f>References!$B$3</f>
        <v>Defensive</v>
      </c>
      <c r="J19" s="218"/>
    </row>
    <row r="20" spans="2:26" ht="15.75" x14ac:dyDescent="0.25">
      <c r="B20" s="213" t="str">
        <f>References!$F$5</f>
        <v>Nb. Targets</v>
      </c>
      <c r="C20" s="213"/>
      <c r="D20" s="218">
        <v>1</v>
      </c>
      <c r="E20" s="218"/>
      <c r="G20" s="213" t="str">
        <f>References!$F$5</f>
        <v>Nb. Targets</v>
      </c>
      <c r="H20" s="213"/>
      <c r="I20" s="218">
        <v>1</v>
      </c>
      <c r="J20" s="218"/>
    </row>
    <row r="21" spans="2:26" ht="15.75" x14ac:dyDescent="0.25">
      <c r="B21" s="213" t="str">
        <f>References!$F$6</f>
        <v>Energy cost</v>
      </c>
      <c r="C21" s="213"/>
      <c r="D21" s="218">
        <v>1</v>
      </c>
      <c r="E21" s="218"/>
      <c r="G21" s="213" t="str">
        <f>References!$F$6</f>
        <v>Energy cost</v>
      </c>
      <c r="H21" s="213"/>
      <c r="I21" s="218">
        <v>1</v>
      </c>
      <c r="J21" s="218"/>
    </row>
    <row r="22" spans="2:26" ht="15.75" x14ac:dyDescent="0.25">
      <c r="B22" s="213" t="s">
        <v>111</v>
      </c>
      <c r="C22" s="213"/>
      <c r="D22" s="210">
        <v>1</v>
      </c>
      <c r="E22" s="210"/>
      <c r="G22" s="213" t="s">
        <v>111</v>
      </c>
      <c r="H22" s="213"/>
      <c r="I22" s="210">
        <v>1</v>
      </c>
      <c r="J22" s="210"/>
    </row>
    <row r="23" spans="2:26" ht="15.75" x14ac:dyDescent="0.25">
      <c r="B23" s="213" t="s">
        <v>110</v>
      </c>
      <c r="C23" s="213"/>
      <c r="D23" s="210">
        <v>0.66700000000000004</v>
      </c>
      <c r="E23" s="210"/>
      <c r="G23" s="213" t="s">
        <v>110</v>
      </c>
      <c r="H23" s="213"/>
      <c r="I23" s="210">
        <v>0</v>
      </c>
      <c r="J23" s="210"/>
    </row>
    <row r="24" spans="2:26" ht="16.5" thickBot="1" x14ac:dyDescent="0.3">
      <c r="B24" s="186" t="str">
        <f>References!$G$2</f>
        <v>Type</v>
      </c>
      <c r="C24" s="187" t="str">
        <f>References!$G$3</f>
        <v>Stat</v>
      </c>
      <c r="D24" s="190" t="str">
        <f>References!$G$7</f>
        <v>Nb</v>
      </c>
      <c r="E24" s="189" t="str">
        <f>References!$G$8</f>
        <v>Turns</v>
      </c>
      <c r="G24" s="186" t="str">
        <f>References!$G$2</f>
        <v>Type</v>
      </c>
      <c r="H24" s="187" t="str">
        <f>References!$G$3</f>
        <v>Stat</v>
      </c>
      <c r="I24" s="190" t="str">
        <f>References!$G$7</f>
        <v>Nb</v>
      </c>
      <c r="J24" s="189" t="str">
        <f>References!$G$8</f>
        <v>Turns</v>
      </c>
    </row>
    <row r="25" spans="2:26" ht="16.5" thickBot="1" x14ac:dyDescent="0.3">
      <c r="B25" s="127" t="str">
        <f>References!$C$2</f>
        <v>Direct</v>
      </c>
      <c r="C25" s="143" t="str">
        <f>References!$A$2</f>
        <v>dmg</v>
      </c>
      <c r="D25" s="183">
        <v>2</v>
      </c>
      <c r="E25" s="172"/>
      <c r="G25" s="129" t="str">
        <f>References!$C$2</f>
        <v>Direct</v>
      </c>
      <c r="H25" s="139" t="str">
        <f>References!$A$5</f>
        <v>def</v>
      </c>
      <c r="I25" s="184">
        <v>1</v>
      </c>
      <c r="J25" s="180"/>
    </row>
    <row r="26" spans="2:26" ht="16.5" thickBot="1" x14ac:dyDescent="0.3">
      <c r="G26" s="129" t="str">
        <f>References!$C$3</f>
        <v>Temp</v>
      </c>
      <c r="H26" s="139" t="str">
        <f>References!$A$5</f>
        <v>def</v>
      </c>
      <c r="I26" s="184">
        <v>1</v>
      </c>
      <c r="J26" s="185">
        <v>2</v>
      </c>
    </row>
    <row r="30" spans="2:26" ht="15.75" x14ac:dyDescent="0.25">
      <c r="C30" s="195" t="str">
        <f>References!$F$2</f>
        <v>Name</v>
      </c>
      <c r="D30" s="196"/>
      <c r="E30" s="220" t="s">
        <v>144</v>
      </c>
      <c r="F30" s="228"/>
      <c r="M30" s="213" t="str">
        <f>References!$F$2</f>
        <v>Name</v>
      </c>
      <c r="N30" s="213"/>
      <c r="O30" s="218" t="s">
        <v>14</v>
      </c>
      <c r="P30" s="218"/>
      <c r="W30" s="213" t="str">
        <f>References!$F$2</f>
        <v>Name</v>
      </c>
      <c r="X30" s="213"/>
      <c r="Y30" s="218" t="s">
        <v>145</v>
      </c>
      <c r="Z30" s="218"/>
    </row>
    <row r="31" spans="2:26" ht="15.75" x14ac:dyDescent="0.25">
      <c r="C31" s="195" t="str">
        <f>References!$F$3</f>
        <v>Class</v>
      </c>
      <c r="D31" s="196"/>
      <c r="E31" s="220" t="str">
        <f>References!$E$3</f>
        <v>Mercenary</v>
      </c>
      <c r="F31" s="228"/>
      <c r="M31" s="213" t="str">
        <f>References!$F$3</f>
        <v>Class</v>
      </c>
      <c r="N31" s="213"/>
      <c r="O31" s="218" t="str">
        <f>References!$E$4</f>
        <v>Warlord</v>
      </c>
      <c r="P31" s="218"/>
      <c r="W31" s="213" t="str">
        <f>References!$F$3</f>
        <v>Class</v>
      </c>
      <c r="X31" s="213"/>
      <c r="Y31" s="218" t="str">
        <f>References!$E$5</f>
        <v>Berserker</v>
      </c>
      <c r="Z31" s="218"/>
    </row>
    <row r="32" spans="2:26" ht="15.75" x14ac:dyDescent="0.25">
      <c r="C32" s="195" t="str">
        <f>References!$F$4</f>
        <v>Type</v>
      </c>
      <c r="D32" s="196"/>
      <c r="E32" s="220" t="str">
        <f>References!$B$2</f>
        <v>Offensive</v>
      </c>
      <c r="F32" s="228"/>
      <c r="M32" s="213" t="str">
        <f>References!$F$4</f>
        <v>Type</v>
      </c>
      <c r="N32" s="213"/>
      <c r="O32" s="218" t="str">
        <f>References!$B$4</f>
        <v>Passive</v>
      </c>
      <c r="P32" s="218"/>
      <c r="W32" s="213" t="str">
        <f>References!$F$4</f>
        <v>Type</v>
      </c>
      <c r="X32" s="213"/>
      <c r="Y32" s="218" t="str">
        <f>References!$B$2</f>
        <v>Offensive</v>
      </c>
      <c r="Z32" s="218"/>
    </row>
    <row r="33" spans="1:29" ht="15.75" x14ac:dyDescent="0.25">
      <c r="C33" s="195" t="str">
        <f>References!$F$5</f>
        <v>Nb. Targets</v>
      </c>
      <c r="D33" s="196"/>
      <c r="E33" s="220">
        <v>1</v>
      </c>
      <c r="F33" s="228"/>
      <c r="M33" s="213" t="str">
        <f>References!$F$5</f>
        <v>Nb. Targets</v>
      </c>
      <c r="N33" s="213"/>
      <c r="O33" s="229"/>
      <c r="P33" s="229"/>
      <c r="W33" s="213" t="str">
        <f>References!$F$5</f>
        <v>Nb. Targets</v>
      </c>
      <c r="X33" s="213"/>
      <c r="Y33" s="218">
        <v>1</v>
      </c>
      <c r="Z33" s="218"/>
    </row>
    <row r="34" spans="1:29" ht="15.75" x14ac:dyDescent="0.25">
      <c r="C34" s="195" t="str">
        <f>References!$F$6</f>
        <v>Energy cost</v>
      </c>
      <c r="D34" s="196"/>
      <c r="E34" s="220">
        <v>2</v>
      </c>
      <c r="F34" s="228"/>
      <c r="M34" s="213" t="str">
        <f>References!$F$6</f>
        <v>Energy cost</v>
      </c>
      <c r="N34" s="213"/>
      <c r="O34" s="229"/>
      <c r="P34" s="229"/>
      <c r="W34" s="213" t="str">
        <f>References!$F$6</f>
        <v>Energy cost</v>
      </c>
      <c r="X34" s="213"/>
      <c r="Y34" s="218">
        <v>3</v>
      </c>
      <c r="Z34" s="218"/>
    </row>
    <row r="35" spans="1:29" ht="15.75" x14ac:dyDescent="0.25">
      <c r="C35" s="195" t="s">
        <v>111</v>
      </c>
      <c r="D35" s="196"/>
      <c r="E35" s="226">
        <v>1</v>
      </c>
      <c r="F35" s="227"/>
      <c r="M35" s="213" t="s">
        <v>111</v>
      </c>
      <c r="N35" s="213"/>
      <c r="O35" s="210">
        <v>1</v>
      </c>
      <c r="P35" s="210"/>
      <c r="W35" s="213" t="s">
        <v>111</v>
      </c>
      <c r="X35" s="213"/>
      <c r="Y35" s="210">
        <v>1</v>
      </c>
      <c r="Z35" s="210"/>
    </row>
    <row r="36" spans="1:29" ht="15.75" x14ac:dyDescent="0.25">
      <c r="C36" s="195" t="s">
        <v>110</v>
      </c>
      <c r="D36" s="196"/>
      <c r="E36" s="226">
        <v>0.33</v>
      </c>
      <c r="F36" s="227"/>
      <c r="M36" s="213" t="s">
        <v>110</v>
      </c>
      <c r="N36" s="213"/>
      <c r="O36" s="210">
        <v>0</v>
      </c>
      <c r="P36" s="210"/>
      <c r="W36" s="213" t="s">
        <v>110</v>
      </c>
      <c r="X36" s="213"/>
      <c r="Y36" s="210">
        <v>0</v>
      </c>
      <c r="Z36" s="210"/>
    </row>
    <row r="37" spans="1:29" ht="16.5" thickBot="1" x14ac:dyDescent="0.3">
      <c r="C37" s="186" t="str">
        <f>References!$G$2</f>
        <v>Type</v>
      </c>
      <c r="D37" s="187" t="str">
        <f>References!$G$3</f>
        <v>Stat</v>
      </c>
      <c r="E37" s="188" t="str">
        <f>References!$G$7</f>
        <v>Nb</v>
      </c>
      <c r="F37" s="189" t="str">
        <f>References!$G$8</f>
        <v>Turns</v>
      </c>
      <c r="M37" s="186" t="str">
        <f>References!$G$2</f>
        <v>Type</v>
      </c>
      <c r="N37" s="187" t="str">
        <f>References!$G$3</f>
        <v>Stat</v>
      </c>
      <c r="O37" s="188" t="str">
        <f>References!$G$7</f>
        <v>Nb</v>
      </c>
      <c r="P37" s="189" t="str">
        <f>References!$G$8</f>
        <v>Turns</v>
      </c>
      <c r="W37" s="186" t="str">
        <f>References!$G$2</f>
        <v>Type</v>
      </c>
      <c r="X37" s="187" t="str">
        <f>References!$G$3</f>
        <v>Stat</v>
      </c>
      <c r="Y37" s="188" t="str">
        <f>References!$G$7</f>
        <v>Nb</v>
      </c>
      <c r="Z37" s="191" t="str">
        <f>References!$G$8</f>
        <v>Turns</v>
      </c>
    </row>
    <row r="38" spans="1:29" ht="16.5" thickBot="1" x14ac:dyDescent="0.3">
      <c r="C38" s="127" t="str">
        <f>References!$C$2</f>
        <v>Direct</v>
      </c>
      <c r="D38" s="143" t="str">
        <f>References!$A$2</f>
        <v>dmg</v>
      </c>
      <c r="E38" s="144">
        <v>3</v>
      </c>
      <c r="F38" s="172"/>
      <c r="M38" s="129" t="str">
        <f>References!$B$4</f>
        <v>Passive</v>
      </c>
      <c r="N38" s="139" t="str">
        <f>References!$A$5</f>
        <v>def</v>
      </c>
      <c r="O38" s="181">
        <v>1</v>
      </c>
      <c r="P38" s="180"/>
      <c r="W38" s="127" t="str">
        <f>References!$C$2</f>
        <v>Direct</v>
      </c>
      <c r="X38" s="143" t="str">
        <f>References!$A$2</f>
        <v>dmg</v>
      </c>
      <c r="Y38" s="144">
        <v>4</v>
      </c>
      <c r="Z38" s="145"/>
    </row>
    <row r="39" spans="1:29" ht="16.5" thickBot="1" x14ac:dyDescent="0.3">
      <c r="C39" s="129" t="str">
        <f>References!$C$4</f>
        <v>SelfDirect</v>
      </c>
      <c r="D39" s="139" t="str">
        <f>References!$A$5</f>
        <v>def</v>
      </c>
      <c r="E39" s="141">
        <v>1</v>
      </c>
      <c r="F39" s="172"/>
      <c r="W39" s="127" t="str">
        <f>References!$C$2</f>
        <v>Direct</v>
      </c>
      <c r="X39" s="143" t="str">
        <f>References!$A$2</f>
        <v>dmg</v>
      </c>
      <c r="Y39" s="141">
        <v>3</v>
      </c>
      <c r="Z39" s="145"/>
    </row>
    <row r="40" spans="1:29" ht="16.5" thickBot="1" x14ac:dyDescent="0.3">
      <c r="C40" s="127" t="str">
        <f>References!$C$5</f>
        <v>SelfTemp</v>
      </c>
      <c r="D40" s="139" t="str">
        <f>References!$A$5</f>
        <v>def</v>
      </c>
      <c r="E40" s="141">
        <v>1</v>
      </c>
      <c r="F40" s="185">
        <v>2</v>
      </c>
    </row>
    <row r="44" spans="1:29" ht="15.75" thickBot="1" x14ac:dyDescent="0.3"/>
    <row r="45" spans="1:29" ht="15.75" x14ac:dyDescent="0.25">
      <c r="A45" s="213" t="str">
        <f>References!$F$2</f>
        <v>Name</v>
      </c>
      <c r="B45" s="213"/>
      <c r="C45" s="218" t="s">
        <v>146</v>
      </c>
      <c r="D45" s="218"/>
      <c r="F45" s="224" t="str">
        <f>References!$F$2</f>
        <v>Name</v>
      </c>
      <c r="G45" s="225"/>
      <c r="H45" s="222" t="s">
        <v>147</v>
      </c>
      <c r="I45" s="223"/>
      <c r="K45" s="224" t="str">
        <f>References!$F$2</f>
        <v>Name</v>
      </c>
      <c r="L45" s="225"/>
      <c r="M45" s="222" t="s">
        <v>148</v>
      </c>
      <c r="N45" s="223"/>
      <c r="P45" s="224" t="str">
        <f>References!$F$2</f>
        <v>Name</v>
      </c>
      <c r="Q45" s="225"/>
      <c r="R45" s="222" t="s">
        <v>149</v>
      </c>
      <c r="S45" s="223"/>
      <c r="U45" s="224" t="str">
        <f>References!$F$2</f>
        <v>Name</v>
      </c>
      <c r="V45" s="225"/>
      <c r="W45" s="222" t="s">
        <v>32</v>
      </c>
      <c r="X45" s="223"/>
      <c r="Z45" s="224" t="str">
        <f>References!$F$2</f>
        <v>Name</v>
      </c>
      <c r="AA45" s="225"/>
      <c r="AB45" s="222" t="s">
        <v>150</v>
      </c>
      <c r="AC45" s="223"/>
    </row>
    <row r="46" spans="1:29" ht="15.75" x14ac:dyDescent="0.25">
      <c r="A46" s="213" t="str">
        <f>References!$F$3</f>
        <v>Class</v>
      </c>
      <c r="B46" s="213"/>
      <c r="C46" s="218" t="str">
        <f>References!$E$3</f>
        <v>Mercenary</v>
      </c>
      <c r="D46" s="218"/>
      <c r="F46" s="212" t="str">
        <f>References!$F$3</f>
        <v>Class</v>
      </c>
      <c r="G46" s="213"/>
      <c r="H46" s="218" t="str">
        <f>References!$E$3</f>
        <v>Mercenary</v>
      </c>
      <c r="I46" s="219"/>
      <c r="K46" s="212" t="str">
        <f>References!$F$3</f>
        <v>Class</v>
      </c>
      <c r="L46" s="213"/>
      <c r="M46" s="218" t="str">
        <f>References!$E$4</f>
        <v>Warlord</v>
      </c>
      <c r="N46" s="219"/>
      <c r="P46" s="212" t="str">
        <f>References!$F$3</f>
        <v>Class</v>
      </c>
      <c r="Q46" s="213"/>
      <c r="R46" s="218" t="str">
        <f>References!$E$4</f>
        <v>Warlord</v>
      </c>
      <c r="S46" s="219"/>
      <c r="U46" s="212" t="str">
        <f>References!$F$3</f>
        <v>Class</v>
      </c>
      <c r="V46" s="213"/>
      <c r="W46" s="218" t="str">
        <f>References!$E$5</f>
        <v>Berserker</v>
      </c>
      <c r="X46" s="219"/>
      <c r="Z46" s="212" t="str">
        <f>References!$F$3</f>
        <v>Class</v>
      </c>
      <c r="AA46" s="213"/>
      <c r="AB46" s="218" t="str">
        <f>References!$E$5</f>
        <v>Berserker</v>
      </c>
      <c r="AC46" s="219"/>
    </row>
    <row r="47" spans="1:29" ht="15.75" x14ac:dyDescent="0.25">
      <c r="A47" s="213" t="str">
        <f>References!$F$4</f>
        <v>Type</v>
      </c>
      <c r="B47" s="213"/>
      <c r="C47" s="218" t="str">
        <f>References!$B$2</f>
        <v>Offensive</v>
      </c>
      <c r="D47" s="218"/>
      <c r="F47" s="212" t="str">
        <f>References!$F$4</f>
        <v>Type</v>
      </c>
      <c r="G47" s="213"/>
      <c r="H47" s="218" t="str">
        <f>References!$B$3</f>
        <v>Defensive</v>
      </c>
      <c r="I47" s="219"/>
      <c r="K47" s="212" t="str">
        <f>References!$F$4</f>
        <v>Type</v>
      </c>
      <c r="L47" s="213"/>
      <c r="M47" s="218" t="str">
        <f>References!$B$2</f>
        <v>Offensive</v>
      </c>
      <c r="N47" s="219"/>
      <c r="P47" s="212" t="str">
        <f>References!$F$4</f>
        <v>Type</v>
      </c>
      <c r="Q47" s="213"/>
      <c r="R47" s="218" t="str">
        <f>References!$B$3</f>
        <v>Defensive</v>
      </c>
      <c r="S47" s="219"/>
      <c r="U47" s="212" t="str">
        <f>References!$F$4</f>
        <v>Type</v>
      </c>
      <c r="V47" s="213"/>
      <c r="W47" s="220" t="str">
        <f>References!$B$3</f>
        <v>Defensive</v>
      </c>
      <c r="X47" s="221"/>
      <c r="Z47" s="212" t="str">
        <f>References!$F$4</f>
        <v>Type</v>
      </c>
      <c r="AA47" s="213"/>
      <c r="AB47" s="218" t="str">
        <f>References!$B$2</f>
        <v>Offensive</v>
      </c>
      <c r="AC47" s="219"/>
    </row>
    <row r="48" spans="1:29" ht="15.75" x14ac:dyDescent="0.25">
      <c r="A48" s="213" t="str">
        <f>References!$F$5</f>
        <v>Nb. Targets</v>
      </c>
      <c r="B48" s="213"/>
      <c r="C48" s="218">
        <v>2</v>
      </c>
      <c r="D48" s="218"/>
      <c r="F48" s="212" t="str">
        <f>References!$F$5</f>
        <v>Nb. Targets</v>
      </c>
      <c r="G48" s="213"/>
      <c r="H48" s="218">
        <v>1</v>
      </c>
      <c r="I48" s="219"/>
      <c r="K48" s="212" t="str">
        <f>References!$F$5</f>
        <v>Nb. Targets</v>
      </c>
      <c r="L48" s="213"/>
      <c r="M48" s="218">
        <v>1</v>
      </c>
      <c r="N48" s="219"/>
      <c r="P48" s="212" t="str">
        <f>References!$F$5</f>
        <v>Nb. Targets</v>
      </c>
      <c r="Q48" s="213"/>
      <c r="R48" s="218">
        <v>1</v>
      </c>
      <c r="S48" s="219"/>
      <c r="U48" s="212" t="str">
        <f>References!$F$5</f>
        <v>Nb. Targets</v>
      </c>
      <c r="V48" s="213"/>
      <c r="W48" s="218">
        <v>3</v>
      </c>
      <c r="X48" s="219"/>
      <c r="Z48" s="212" t="str">
        <f>References!$F$5</f>
        <v>Nb. Targets</v>
      </c>
      <c r="AA48" s="213"/>
      <c r="AB48" s="218">
        <v>1</v>
      </c>
      <c r="AC48" s="219"/>
    </row>
    <row r="49" spans="1:29" ht="16.5" thickBot="1" x14ac:dyDescent="0.3">
      <c r="A49" s="213" t="str">
        <f>References!$F$6</f>
        <v>Energy cost</v>
      </c>
      <c r="B49" s="213"/>
      <c r="C49" s="218">
        <v>3</v>
      </c>
      <c r="D49" s="218"/>
      <c r="F49" s="214" t="str">
        <f>References!$F$6</f>
        <v>Energy cost</v>
      </c>
      <c r="G49" s="215"/>
      <c r="H49" s="216">
        <v>2</v>
      </c>
      <c r="I49" s="217"/>
      <c r="K49" s="214" t="str">
        <f>References!$F$6</f>
        <v>Energy cost</v>
      </c>
      <c r="L49" s="215"/>
      <c r="M49" s="216">
        <v>4</v>
      </c>
      <c r="N49" s="217"/>
      <c r="P49" s="214" t="str">
        <f>References!$F$6</f>
        <v>Energy cost</v>
      </c>
      <c r="Q49" s="215"/>
      <c r="R49" s="216">
        <v>2</v>
      </c>
      <c r="S49" s="217"/>
      <c r="U49" s="214" t="str">
        <f>References!$F$6</f>
        <v>Energy cost</v>
      </c>
      <c r="V49" s="215"/>
      <c r="W49" s="216">
        <v>2</v>
      </c>
      <c r="X49" s="217"/>
      <c r="Z49" s="214" t="str">
        <f>References!$F$6</f>
        <v>Energy cost</v>
      </c>
      <c r="AA49" s="215"/>
      <c r="AB49" s="216">
        <v>3</v>
      </c>
      <c r="AC49" s="217"/>
    </row>
    <row r="50" spans="1:29" ht="15.75" x14ac:dyDescent="0.25">
      <c r="A50" s="213" t="s">
        <v>111</v>
      </c>
      <c r="B50" s="213"/>
      <c r="C50" s="210">
        <v>2</v>
      </c>
      <c r="D50" s="210"/>
      <c r="F50" s="213" t="s">
        <v>111</v>
      </c>
      <c r="G50" s="213"/>
      <c r="H50" s="210">
        <v>2</v>
      </c>
      <c r="I50" s="210"/>
      <c r="K50" s="212" t="s">
        <v>111</v>
      </c>
      <c r="L50" s="213"/>
      <c r="M50" s="210">
        <v>1</v>
      </c>
      <c r="N50" s="211"/>
      <c r="P50" s="212" t="s">
        <v>111</v>
      </c>
      <c r="Q50" s="213"/>
      <c r="R50" s="210">
        <v>2</v>
      </c>
      <c r="S50" s="211"/>
      <c r="U50" s="212" t="s">
        <v>111</v>
      </c>
      <c r="V50" s="213"/>
      <c r="W50" s="210">
        <v>1</v>
      </c>
      <c r="X50" s="211"/>
      <c r="Z50" s="212" t="s">
        <v>111</v>
      </c>
      <c r="AA50" s="213"/>
      <c r="AB50" s="210">
        <v>1</v>
      </c>
      <c r="AC50" s="211"/>
    </row>
    <row r="51" spans="1:29" ht="16.5" thickBot="1" x14ac:dyDescent="0.3">
      <c r="A51" s="213" t="s">
        <v>110</v>
      </c>
      <c r="B51" s="213"/>
      <c r="C51" s="210">
        <v>0.5</v>
      </c>
      <c r="D51" s="210"/>
      <c r="F51" s="213" t="s">
        <v>110</v>
      </c>
      <c r="G51" s="213"/>
      <c r="H51" s="210">
        <v>0</v>
      </c>
      <c r="I51" s="210"/>
      <c r="K51" s="212" t="s">
        <v>110</v>
      </c>
      <c r="L51" s="213"/>
      <c r="M51" s="210">
        <v>0.66700000000000004</v>
      </c>
      <c r="N51" s="211"/>
      <c r="P51" s="212" t="s">
        <v>110</v>
      </c>
      <c r="Q51" s="213"/>
      <c r="R51" s="210">
        <v>0.17</v>
      </c>
      <c r="S51" s="211"/>
      <c r="U51" s="214" t="s">
        <v>110</v>
      </c>
      <c r="V51" s="215"/>
      <c r="W51" s="208">
        <v>0.33</v>
      </c>
      <c r="X51" s="209"/>
      <c r="Z51" s="214" t="s">
        <v>110</v>
      </c>
      <c r="AA51" s="215"/>
      <c r="AB51" s="208">
        <v>0.33</v>
      </c>
      <c r="AC51" s="209"/>
    </row>
    <row r="52" spans="1:29" ht="16.5" thickBot="1" x14ac:dyDescent="0.3">
      <c r="A52" s="186" t="str">
        <f>References!$G$2</f>
        <v>Type</v>
      </c>
      <c r="B52" s="187" t="str">
        <f>References!$G$3</f>
        <v>Stat</v>
      </c>
      <c r="C52" s="188" t="str">
        <f>References!$G$7</f>
        <v>Nb</v>
      </c>
      <c r="D52" s="191" t="str">
        <f>References!$G$8</f>
        <v>Turns</v>
      </c>
      <c r="F52" s="133" t="str">
        <f>References!$G$2</f>
        <v>Type</v>
      </c>
      <c r="G52" s="135" t="str">
        <f>References!$G$3</f>
        <v>Stat</v>
      </c>
      <c r="H52" s="146" t="str">
        <f>References!$G$7</f>
        <v>Nb</v>
      </c>
      <c r="I52" s="147" t="str">
        <f>References!$G$8</f>
        <v>Turns</v>
      </c>
      <c r="K52" s="133" t="str">
        <f>References!$G$2</f>
        <v>Type</v>
      </c>
      <c r="L52" s="135" t="str">
        <f>References!$G$3</f>
        <v>Stat</v>
      </c>
      <c r="M52" s="146" t="str">
        <f>References!$G$7</f>
        <v>Nb</v>
      </c>
      <c r="N52" s="182" t="str">
        <f>References!$G$8</f>
        <v>Turns</v>
      </c>
      <c r="P52" s="133" t="str">
        <f>References!$G$2</f>
        <v>Type</v>
      </c>
      <c r="Q52" s="135" t="str">
        <f>References!$G$3</f>
        <v>Stat</v>
      </c>
      <c r="R52" s="146" t="str">
        <f>References!$G$7</f>
        <v>Nb</v>
      </c>
      <c r="S52" s="182" t="str">
        <f>References!$G$8</f>
        <v>Turns</v>
      </c>
      <c r="U52" s="133" t="str">
        <f>References!$G$2</f>
        <v>Type</v>
      </c>
      <c r="V52" s="135" t="str">
        <f>References!$G$3</f>
        <v>Stat</v>
      </c>
      <c r="W52" s="146" t="str">
        <f>References!$G$7</f>
        <v>Nb</v>
      </c>
      <c r="X52" s="182" t="str">
        <f>References!$G$8</f>
        <v>Turns</v>
      </c>
      <c r="Z52" s="133" t="str">
        <f>References!$G$2</f>
        <v>Type</v>
      </c>
      <c r="AA52" s="135" t="str">
        <f>References!$G$3</f>
        <v>Stat</v>
      </c>
      <c r="AB52" s="146" t="str">
        <f>References!$G$7</f>
        <v>Nb</v>
      </c>
      <c r="AC52" s="182" t="str">
        <f>References!$G$8</f>
        <v>Turns</v>
      </c>
    </row>
    <row r="53" spans="1:29" ht="16.5" thickBot="1" x14ac:dyDescent="0.3">
      <c r="A53" s="127" t="str">
        <f>References!$C$2</f>
        <v>Direct</v>
      </c>
      <c r="B53" s="143" t="str">
        <f>References!$A$2</f>
        <v>dmg</v>
      </c>
      <c r="C53" s="144">
        <v>5</v>
      </c>
      <c r="D53" s="145"/>
      <c r="F53" s="129" t="str">
        <f>References!$C$2</f>
        <v>Direct</v>
      </c>
      <c r="G53" s="139" t="str">
        <f>References!$A$5</f>
        <v>def</v>
      </c>
      <c r="H53" s="141">
        <v>2</v>
      </c>
      <c r="I53" s="175"/>
      <c r="K53" s="127" t="str">
        <f>References!$C$2</f>
        <v>Direct</v>
      </c>
      <c r="L53" s="143" t="str">
        <f>References!$A$2</f>
        <v>dmg</v>
      </c>
      <c r="M53" s="144">
        <v>6</v>
      </c>
      <c r="N53" s="172"/>
      <c r="P53" s="127" t="str">
        <f>References!$C$2</f>
        <v>Direct</v>
      </c>
      <c r="Q53" s="143" t="str">
        <f>References!$A$3</f>
        <v>hp</v>
      </c>
      <c r="R53" s="144">
        <v>6</v>
      </c>
      <c r="S53" s="172"/>
      <c r="U53" s="129" t="str">
        <f>References!$C$2</f>
        <v>Direct</v>
      </c>
      <c r="V53" s="139" t="str">
        <f>References!$A$2</f>
        <v>dmg</v>
      </c>
      <c r="W53" s="141">
        <v>4</v>
      </c>
      <c r="X53" s="180"/>
      <c r="Z53" s="129" t="str">
        <f>References!$C$2</f>
        <v>Direct</v>
      </c>
      <c r="AA53" s="139" t="str">
        <f>References!$A$2</f>
        <v>dmg</v>
      </c>
      <c r="AB53" s="144">
        <v>9</v>
      </c>
      <c r="AC53" s="172"/>
    </row>
    <row r="54" spans="1:29" ht="16.5" thickBot="1" x14ac:dyDescent="0.3">
      <c r="F54" s="127" t="str">
        <f>References!$C$2</f>
        <v>Direct</v>
      </c>
      <c r="G54" s="139" t="str">
        <f>References!$A$7</f>
        <v>rtl</v>
      </c>
      <c r="H54" s="141">
        <v>2</v>
      </c>
      <c r="I54" s="145"/>
      <c r="K54" s="127" t="str">
        <f>References!$C$2</f>
        <v>Direct</v>
      </c>
      <c r="L54" s="143" t="str">
        <f>References!$A$8</f>
        <v>stun</v>
      </c>
      <c r="M54" s="141">
        <v>1</v>
      </c>
      <c r="N54" s="172"/>
      <c r="Z54" s="197" t="str">
        <f>References!$C$5</f>
        <v>SelfTemp</v>
      </c>
      <c r="AA54" s="198" t="str">
        <f>References!$A$5</f>
        <v>def</v>
      </c>
      <c r="AB54" s="199">
        <v>-2</v>
      </c>
      <c r="AC54" s="200">
        <v>1</v>
      </c>
    </row>
    <row r="55" spans="1:29" ht="16.5" thickBot="1" x14ac:dyDescent="0.3">
      <c r="F55" s="129" t="str">
        <f>References!$C$3</f>
        <v>Temp</v>
      </c>
      <c r="G55" s="139" t="str">
        <f>References!$A$5</f>
        <v>def</v>
      </c>
      <c r="H55" s="144">
        <v>2</v>
      </c>
      <c r="I55" s="142">
        <v>1</v>
      </c>
      <c r="Z55" s="13"/>
      <c r="AA55" s="13"/>
      <c r="AB55" s="156"/>
      <c r="AC55" s="156"/>
    </row>
    <row r="56" spans="1:29" ht="16.5" thickBot="1" x14ac:dyDescent="0.3">
      <c r="F56" s="129" t="str">
        <f>References!$C$3</f>
        <v>Temp</v>
      </c>
      <c r="G56" s="139" t="str">
        <f>References!$A$7</f>
        <v>rtl</v>
      </c>
      <c r="H56" s="141">
        <v>2</v>
      </c>
      <c r="I56" s="142">
        <v>1</v>
      </c>
    </row>
  </sheetData>
  <mergeCells count="189">
    <mergeCell ref="B4:C4"/>
    <mergeCell ref="D4:E4"/>
    <mergeCell ref="G4:H4"/>
    <mergeCell ref="I4:J4"/>
    <mergeCell ref="L4:M4"/>
    <mergeCell ref="N4:O4"/>
    <mergeCell ref="B3:C3"/>
    <mergeCell ref="D3:E3"/>
    <mergeCell ref="G3:H3"/>
    <mergeCell ref="I3:J3"/>
    <mergeCell ref="L3:M3"/>
    <mergeCell ref="N3:O3"/>
    <mergeCell ref="B6:C6"/>
    <mergeCell ref="D6:E6"/>
    <mergeCell ref="G6:H6"/>
    <mergeCell ref="I6:J6"/>
    <mergeCell ref="L6:M6"/>
    <mergeCell ref="N6:O6"/>
    <mergeCell ref="B5:C5"/>
    <mergeCell ref="D5:E5"/>
    <mergeCell ref="G5:H5"/>
    <mergeCell ref="I5:J5"/>
    <mergeCell ref="L5:M5"/>
    <mergeCell ref="N5:O5"/>
    <mergeCell ref="L9:M9"/>
    <mergeCell ref="N9:O9"/>
    <mergeCell ref="B8:C8"/>
    <mergeCell ref="D8:E8"/>
    <mergeCell ref="G8:H8"/>
    <mergeCell ref="I8:J8"/>
    <mergeCell ref="L8:M8"/>
    <mergeCell ref="N8:O8"/>
    <mergeCell ref="B7:C7"/>
    <mergeCell ref="D7:E7"/>
    <mergeCell ref="G7:H7"/>
    <mergeCell ref="I7:J7"/>
    <mergeCell ref="L7:M7"/>
    <mergeCell ref="N7:O7"/>
    <mergeCell ref="B17:C17"/>
    <mergeCell ref="D17:E17"/>
    <mergeCell ref="G17:H17"/>
    <mergeCell ref="I17:J17"/>
    <mergeCell ref="B18:C18"/>
    <mergeCell ref="D18:E18"/>
    <mergeCell ref="G18:H18"/>
    <mergeCell ref="I18:J18"/>
    <mergeCell ref="B9:C9"/>
    <mergeCell ref="D9:E9"/>
    <mergeCell ref="G9:H9"/>
    <mergeCell ref="I9:J9"/>
    <mergeCell ref="B21:C21"/>
    <mergeCell ref="D21:E21"/>
    <mergeCell ref="G21:H21"/>
    <mergeCell ref="I21:J21"/>
    <mergeCell ref="B22:C22"/>
    <mergeCell ref="D22:E22"/>
    <mergeCell ref="G22:H22"/>
    <mergeCell ref="I22:J22"/>
    <mergeCell ref="B19:C19"/>
    <mergeCell ref="D19:E19"/>
    <mergeCell ref="G19:H19"/>
    <mergeCell ref="I19:J19"/>
    <mergeCell ref="B20:C20"/>
    <mergeCell ref="D20:E20"/>
    <mergeCell ref="G20:H20"/>
    <mergeCell ref="I20:J20"/>
    <mergeCell ref="O30:P30"/>
    <mergeCell ref="W30:X30"/>
    <mergeCell ref="Y30:Z30"/>
    <mergeCell ref="E31:F31"/>
    <mergeCell ref="M31:N31"/>
    <mergeCell ref="O31:P31"/>
    <mergeCell ref="W31:X31"/>
    <mergeCell ref="Y31:Z31"/>
    <mergeCell ref="B23:C23"/>
    <mergeCell ref="D23:E23"/>
    <mergeCell ref="G23:H23"/>
    <mergeCell ref="I23:J23"/>
    <mergeCell ref="E30:F30"/>
    <mergeCell ref="M30:N30"/>
    <mergeCell ref="E32:F32"/>
    <mergeCell ref="M32:N32"/>
    <mergeCell ref="O32:P32"/>
    <mergeCell ref="W32:X32"/>
    <mergeCell ref="Y32:Z32"/>
    <mergeCell ref="E33:F33"/>
    <mergeCell ref="M33:N33"/>
    <mergeCell ref="O33:P33"/>
    <mergeCell ref="W33:X33"/>
    <mergeCell ref="Y33:Z33"/>
    <mergeCell ref="E34:F34"/>
    <mergeCell ref="M34:N34"/>
    <mergeCell ref="O34:P34"/>
    <mergeCell ref="W34:X34"/>
    <mergeCell ref="Y34:Z34"/>
    <mergeCell ref="E35:F35"/>
    <mergeCell ref="M35:N35"/>
    <mergeCell ref="O35:P35"/>
    <mergeCell ref="W35:X35"/>
    <mergeCell ref="Y35:Z35"/>
    <mergeCell ref="E36:F36"/>
    <mergeCell ref="M36:N36"/>
    <mergeCell ref="O36:P36"/>
    <mergeCell ref="W36:X36"/>
    <mergeCell ref="Y36:Z36"/>
    <mergeCell ref="A45:B45"/>
    <mergeCell ref="C45:D45"/>
    <mergeCell ref="F45:G45"/>
    <mergeCell ref="H45:I45"/>
    <mergeCell ref="K45:L45"/>
    <mergeCell ref="AB45:AC45"/>
    <mergeCell ref="A46:B46"/>
    <mergeCell ref="C46:D46"/>
    <mergeCell ref="F46:G46"/>
    <mergeCell ref="H46:I46"/>
    <mergeCell ref="K46:L46"/>
    <mergeCell ref="M46:N46"/>
    <mergeCell ref="P46:Q46"/>
    <mergeCell ref="R46:S46"/>
    <mergeCell ref="U46:V46"/>
    <mergeCell ref="M45:N45"/>
    <mergeCell ref="P45:Q45"/>
    <mergeCell ref="R45:S45"/>
    <mergeCell ref="U45:V45"/>
    <mergeCell ref="W45:X45"/>
    <mergeCell ref="Z45:AA45"/>
    <mergeCell ref="W46:X46"/>
    <mergeCell ref="Z46:AA46"/>
    <mergeCell ref="AB46:AC46"/>
    <mergeCell ref="A47:B47"/>
    <mergeCell ref="C47:D47"/>
    <mergeCell ref="F47:G47"/>
    <mergeCell ref="H47:I47"/>
    <mergeCell ref="K47:L47"/>
    <mergeCell ref="M47:N47"/>
    <mergeCell ref="P47:Q47"/>
    <mergeCell ref="R47:S47"/>
    <mergeCell ref="U47:V47"/>
    <mergeCell ref="W47:X47"/>
    <mergeCell ref="Z47:AA47"/>
    <mergeCell ref="AB47:AC47"/>
    <mergeCell ref="A48:B48"/>
    <mergeCell ref="C48:D48"/>
    <mergeCell ref="F48:G48"/>
    <mergeCell ref="H48:I48"/>
    <mergeCell ref="K48:L48"/>
    <mergeCell ref="AB48:AC48"/>
    <mergeCell ref="A49:B49"/>
    <mergeCell ref="C49:D49"/>
    <mergeCell ref="F49:G49"/>
    <mergeCell ref="H49:I49"/>
    <mergeCell ref="K49:L49"/>
    <mergeCell ref="M49:N49"/>
    <mergeCell ref="P49:Q49"/>
    <mergeCell ref="R49:S49"/>
    <mergeCell ref="U49:V49"/>
    <mergeCell ref="M48:N48"/>
    <mergeCell ref="P48:Q48"/>
    <mergeCell ref="R48:S48"/>
    <mergeCell ref="U48:V48"/>
    <mergeCell ref="W48:X48"/>
    <mergeCell ref="Z48:AA48"/>
    <mergeCell ref="A51:B51"/>
    <mergeCell ref="C51:D51"/>
    <mergeCell ref="F51:G51"/>
    <mergeCell ref="H51:I51"/>
    <mergeCell ref="K51:L51"/>
    <mergeCell ref="W49:X49"/>
    <mergeCell ref="Z49:AA49"/>
    <mergeCell ref="AB49:AC49"/>
    <mergeCell ref="A50:B50"/>
    <mergeCell ref="C50:D50"/>
    <mergeCell ref="F50:G50"/>
    <mergeCell ref="H50:I50"/>
    <mergeCell ref="K50:L50"/>
    <mergeCell ref="M50:N50"/>
    <mergeCell ref="P50:Q50"/>
    <mergeCell ref="AB51:AC51"/>
    <mergeCell ref="M51:N51"/>
    <mergeCell ref="P51:Q51"/>
    <mergeCell ref="R51:S51"/>
    <mergeCell ref="U51:V51"/>
    <mergeCell ref="W51:X51"/>
    <mergeCell ref="Z51:AA51"/>
    <mergeCell ref="R50:S50"/>
    <mergeCell ref="U50:V50"/>
    <mergeCell ref="W50:X50"/>
    <mergeCell ref="Z50:AA50"/>
    <mergeCell ref="AB50:AC50"/>
  </mergeCells>
  <pageMargins left="0" right="0" top="0" bottom="0" header="0" footer="0"/>
  <pageSetup scale="5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D013B-E288-460A-B7FA-917BA71B023F}">
  <sheetPr>
    <pageSetUpPr fitToPage="1"/>
  </sheetPr>
  <dimension ref="A3:AC55"/>
  <sheetViews>
    <sheetView tabSelected="1" topLeftCell="A34" workbookViewId="0">
      <selection activeCell="K61" sqref="K61:L61"/>
    </sheetView>
  </sheetViews>
  <sheetFormatPr defaultRowHeight="15" x14ac:dyDescent="0.25"/>
  <sheetData>
    <row r="3" spans="2:15" ht="15.75" x14ac:dyDescent="0.25">
      <c r="B3" s="213" t="str">
        <f>References!$F$2</f>
        <v>Name</v>
      </c>
      <c r="C3" s="213"/>
      <c r="D3" s="218" t="s">
        <v>4</v>
      </c>
      <c r="E3" s="218"/>
      <c r="G3" s="213" t="str">
        <f>References!$F$2</f>
        <v>Name</v>
      </c>
      <c r="H3" s="213"/>
      <c r="I3" s="218" t="s">
        <v>132</v>
      </c>
      <c r="J3" s="218"/>
      <c r="L3" s="213" t="str">
        <f>References!$F$2</f>
        <v>Name</v>
      </c>
      <c r="M3" s="213"/>
      <c r="N3" s="218" t="s">
        <v>142</v>
      </c>
      <c r="O3" s="218"/>
    </row>
    <row r="4" spans="2:15" ht="15.75" x14ac:dyDescent="0.25">
      <c r="B4" s="213" t="str">
        <f>References!$F$3</f>
        <v>Class</v>
      </c>
      <c r="C4" s="213"/>
      <c r="D4" s="218" t="str">
        <f>References!$E$2</f>
        <v>Creature</v>
      </c>
      <c r="E4" s="218"/>
      <c r="G4" s="213" t="str">
        <f>References!$F$3</f>
        <v>Class</v>
      </c>
      <c r="H4" s="213"/>
      <c r="I4" s="218" t="str">
        <f>References!$E$2</f>
        <v>Creature</v>
      </c>
      <c r="J4" s="218"/>
      <c r="L4" s="213" t="str">
        <f>References!$F$3</f>
        <v>Class</v>
      </c>
      <c r="M4" s="213"/>
      <c r="N4" s="218" t="str">
        <f>References!$E$2</f>
        <v>Creature</v>
      </c>
      <c r="O4" s="218"/>
    </row>
    <row r="5" spans="2:15" ht="15.75" x14ac:dyDescent="0.25">
      <c r="B5" s="213" t="str">
        <f>References!$F$4</f>
        <v>Type</v>
      </c>
      <c r="C5" s="213"/>
      <c r="D5" s="229"/>
      <c r="E5" s="229"/>
      <c r="G5" s="213" t="str">
        <f>References!$F$4</f>
        <v>Type</v>
      </c>
      <c r="H5" s="213"/>
      <c r="I5" s="218" t="str">
        <f>References!$B$2</f>
        <v>Offensive</v>
      </c>
      <c r="J5" s="218"/>
      <c r="L5" s="213" t="str">
        <f>References!$F$4</f>
        <v>Type</v>
      </c>
      <c r="M5" s="213"/>
      <c r="N5" s="218" t="str">
        <f>References!$B$2</f>
        <v>Offensive</v>
      </c>
      <c r="O5" s="218"/>
    </row>
    <row r="6" spans="2:15" ht="15.75" x14ac:dyDescent="0.25">
      <c r="B6" s="213" t="str">
        <f>References!$F$5</f>
        <v>Nb. Targets</v>
      </c>
      <c r="C6" s="213"/>
      <c r="D6" s="229"/>
      <c r="E6" s="229"/>
      <c r="G6" s="213" t="str">
        <f>References!$F$5</f>
        <v>Nb. Targets</v>
      </c>
      <c r="H6" s="213"/>
      <c r="I6" s="218">
        <v>1</v>
      </c>
      <c r="J6" s="218"/>
      <c r="L6" s="213" t="str">
        <f>References!$F$5</f>
        <v>Nb. Targets</v>
      </c>
      <c r="M6" s="213"/>
      <c r="N6" s="218">
        <v>1</v>
      </c>
      <c r="O6" s="218"/>
    </row>
    <row r="7" spans="2:15" ht="15.75" x14ac:dyDescent="0.25">
      <c r="B7" s="213" t="str">
        <f>References!$F$6</f>
        <v>Energy cost</v>
      </c>
      <c r="C7" s="213"/>
      <c r="D7" s="218">
        <v>0</v>
      </c>
      <c r="E7" s="218"/>
      <c r="G7" s="213" t="str">
        <f>References!$F$6</f>
        <v>Energy cost</v>
      </c>
      <c r="H7" s="213"/>
      <c r="I7" s="218">
        <v>1</v>
      </c>
      <c r="J7" s="218"/>
      <c r="L7" s="213" t="str">
        <f>References!$F$6</f>
        <v>Energy cost</v>
      </c>
      <c r="M7" s="213"/>
      <c r="N7" s="218">
        <v>2</v>
      </c>
      <c r="O7" s="218"/>
    </row>
    <row r="8" spans="2:15" ht="15.75" x14ac:dyDescent="0.25">
      <c r="B8" s="213" t="s">
        <v>111</v>
      </c>
      <c r="C8" s="213"/>
      <c r="D8" s="210">
        <v>1</v>
      </c>
      <c r="E8" s="210"/>
      <c r="G8" s="213" t="s">
        <v>111</v>
      </c>
      <c r="H8" s="213"/>
      <c r="I8" s="210">
        <v>1</v>
      </c>
      <c r="J8" s="210"/>
      <c r="L8" s="213" t="s">
        <v>111</v>
      </c>
      <c r="M8" s="213"/>
      <c r="N8" s="210">
        <v>1</v>
      </c>
      <c r="O8" s="210"/>
    </row>
    <row r="9" spans="2:15" ht="15.75" x14ac:dyDescent="0.25">
      <c r="B9" s="213" t="s">
        <v>110</v>
      </c>
      <c r="C9" s="213"/>
      <c r="D9" s="210">
        <v>0</v>
      </c>
      <c r="E9" s="210"/>
      <c r="G9" s="213" t="s">
        <v>110</v>
      </c>
      <c r="H9" s="213"/>
      <c r="I9" s="210">
        <v>0</v>
      </c>
      <c r="J9" s="210"/>
      <c r="L9" s="213" t="s">
        <v>110</v>
      </c>
      <c r="M9" s="213"/>
      <c r="N9" s="210">
        <v>0</v>
      </c>
      <c r="O9" s="210"/>
    </row>
    <row r="10" spans="2:15" ht="16.5" thickBot="1" x14ac:dyDescent="0.3">
      <c r="B10" s="186" t="str">
        <f>References!$G$2</f>
        <v>Type</v>
      </c>
      <c r="C10" s="187" t="str">
        <f>References!$G$3</f>
        <v>Stat</v>
      </c>
      <c r="D10" s="188" t="str">
        <f>References!$G$7</f>
        <v>Nb</v>
      </c>
      <c r="E10" s="189" t="str">
        <f>References!$G$8</f>
        <v>Turns</v>
      </c>
      <c r="G10" s="186" t="str">
        <f>References!$G$2</f>
        <v>Type</v>
      </c>
      <c r="H10" s="187" t="str">
        <f>References!$G$3</f>
        <v>Stat</v>
      </c>
      <c r="I10" s="188" t="str">
        <f>References!$G$7</f>
        <v>Nb</v>
      </c>
      <c r="J10" s="189" t="str">
        <f>References!$G$8</f>
        <v>Turns</v>
      </c>
      <c r="L10" s="186" t="str">
        <f>References!$G$2</f>
        <v>Type</v>
      </c>
      <c r="M10" s="187" t="str">
        <f>References!$G$3</f>
        <v>Stat</v>
      </c>
      <c r="N10" s="190" t="str">
        <f>References!$G$7</f>
        <v>Nb</v>
      </c>
      <c r="O10" s="189" t="str">
        <f>References!$G$8</f>
        <v>Turns</v>
      </c>
    </row>
    <row r="11" spans="2:15" ht="16.5" thickBot="1" x14ac:dyDescent="0.3">
      <c r="B11" s="170"/>
      <c r="C11" s="145"/>
      <c r="D11" s="170"/>
      <c r="E11" s="172"/>
      <c r="G11" s="127" t="str">
        <f>References!$C$2</f>
        <v>Direct</v>
      </c>
      <c r="H11" s="143" t="str">
        <f>References!$A$2</f>
        <v>dmg</v>
      </c>
      <c r="I11" s="144">
        <v>2</v>
      </c>
      <c r="J11" s="172"/>
      <c r="L11" s="127" t="str">
        <f>References!$C$2</f>
        <v>Direct</v>
      </c>
      <c r="M11" s="143" t="str">
        <f>References!$A$2</f>
        <v>dmg</v>
      </c>
      <c r="N11" s="183">
        <v>3</v>
      </c>
      <c r="O11" s="172"/>
    </row>
    <row r="16" spans="2:15" ht="15.75" thickBot="1" x14ac:dyDescent="0.3"/>
    <row r="17" spans="2:26" ht="15.75" x14ac:dyDescent="0.25">
      <c r="B17" s="224" t="str">
        <f>References!$F$2</f>
        <v>Name</v>
      </c>
      <c r="C17" s="225"/>
      <c r="D17" s="222" t="s">
        <v>163</v>
      </c>
      <c r="E17" s="223"/>
      <c r="G17" s="224" t="str">
        <f>References!$F$2</f>
        <v>Name</v>
      </c>
      <c r="H17" s="225"/>
      <c r="I17" s="222" t="s">
        <v>164</v>
      </c>
      <c r="J17" s="223"/>
    </row>
    <row r="18" spans="2:26" ht="15.75" x14ac:dyDescent="0.25">
      <c r="B18" s="212" t="str">
        <f>References!$F$3</f>
        <v>Class</v>
      </c>
      <c r="C18" s="213"/>
      <c r="D18" s="218" t="str">
        <f>References!$D$3</f>
        <v>Scoundrel</v>
      </c>
      <c r="E18" s="219"/>
      <c r="G18" s="212" t="str">
        <f>References!$F$3</f>
        <v>Class</v>
      </c>
      <c r="H18" s="213"/>
      <c r="I18" s="218" t="str">
        <f>References!$D$3</f>
        <v>Scoundrel</v>
      </c>
      <c r="J18" s="219"/>
    </row>
    <row r="19" spans="2:26" ht="15.75" x14ac:dyDescent="0.25">
      <c r="B19" s="212" t="str">
        <f>References!$F$4</f>
        <v>Type</v>
      </c>
      <c r="C19" s="213"/>
      <c r="D19" s="218" t="str">
        <f>References!$B$2</f>
        <v>Offensive</v>
      </c>
      <c r="E19" s="219"/>
      <c r="G19" s="212" t="str">
        <f>References!$F$4</f>
        <v>Type</v>
      </c>
      <c r="H19" s="213"/>
      <c r="I19" s="218" t="str">
        <f>References!$B$2</f>
        <v>Offensive</v>
      </c>
      <c r="J19" s="219"/>
    </row>
    <row r="20" spans="2:26" ht="15.75" x14ac:dyDescent="0.25">
      <c r="B20" s="212" t="str">
        <f>References!$F$5</f>
        <v>Nb. Targets</v>
      </c>
      <c r="C20" s="213"/>
      <c r="D20" s="218">
        <v>1</v>
      </c>
      <c r="E20" s="219"/>
      <c r="G20" s="212" t="str">
        <f>References!$F$5</f>
        <v>Nb. Targets</v>
      </c>
      <c r="H20" s="213"/>
      <c r="I20" s="218">
        <v>1</v>
      </c>
      <c r="J20" s="219"/>
    </row>
    <row r="21" spans="2:26" ht="16.5" thickBot="1" x14ac:dyDescent="0.3">
      <c r="B21" s="214" t="str">
        <f>References!$F$6</f>
        <v>Energy cost</v>
      </c>
      <c r="C21" s="215"/>
      <c r="D21" s="216">
        <v>2</v>
      </c>
      <c r="E21" s="217"/>
      <c r="G21" s="214" t="str">
        <f>References!$F$6</f>
        <v>Energy cost</v>
      </c>
      <c r="H21" s="215"/>
      <c r="I21" s="216">
        <v>1</v>
      </c>
      <c r="J21" s="217"/>
    </row>
    <row r="22" spans="2:26" ht="15.75" x14ac:dyDescent="0.25">
      <c r="B22" s="212" t="s">
        <v>111</v>
      </c>
      <c r="C22" s="213"/>
      <c r="D22" s="210">
        <v>1</v>
      </c>
      <c r="E22" s="211"/>
      <c r="G22" s="212" t="s">
        <v>111</v>
      </c>
      <c r="H22" s="213"/>
      <c r="I22" s="210">
        <v>2</v>
      </c>
      <c r="J22" s="211"/>
    </row>
    <row r="23" spans="2:26" ht="16.5" thickBot="1" x14ac:dyDescent="0.3">
      <c r="B23" s="214" t="s">
        <v>110</v>
      </c>
      <c r="C23" s="215"/>
      <c r="D23" s="208">
        <v>0</v>
      </c>
      <c r="E23" s="209"/>
      <c r="G23" s="214" t="s">
        <v>110</v>
      </c>
      <c r="H23" s="215"/>
      <c r="I23" s="208">
        <v>0</v>
      </c>
      <c r="J23" s="209"/>
    </row>
    <row r="24" spans="2:26" ht="16.5" thickBot="1" x14ac:dyDescent="0.3">
      <c r="B24" s="133" t="str">
        <f>References!$G$2</f>
        <v>Type</v>
      </c>
      <c r="C24" s="135" t="str">
        <f>References!$G$3</f>
        <v>Stat</v>
      </c>
      <c r="D24" s="146" t="str">
        <f>References!$G$7</f>
        <v>Nb</v>
      </c>
      <c r="E24" s="147" t="str">
        <f>References!$G$8</f>
        <v>Turns</v>
      </c>
      <c r="G24" s="133" t="str">
        <f>References!$G$2</f>
        <v>Type</v>
      </c>
      <c r="H24" s="135" t="str">
        <f>References!$G$3</f>
        <v>Stat</v>
      </c>
      <c r="I24" s="146" t="str">
        <f>References!$G$7</f>
        <v>Nb</v>
      </c>
      <c r="J24" s="147" t="str">
        <f>References!$G$8</f>
        <v>Turns</v>
      </c>
    </row>
    <row r="25" spans="2:26" ht="16.5" thickBot="1" x14ac:dyDescent="0.3">
      <c r="B25" s="127" t="str">
        <f>References!$C$2</f>
        <v>Direct</v>
      </c>
      <c r="C25" s="143" t="str">
        <f>References!$A$2</f>
        <v>dmg</v>
      </c>
      <c r="D25" s="144">
        <v>2</v>
      </c>
      <c r="E25" s="145"/>
      <c r="G25" s="129" t="str">
        <f>References!$C$2</f>
        <v>Direct</v>
      </c>
      <c r="H25" s="139" t="str">
        <f>References!$A$2</f>
        <v>dmg</v>
      </c>
      <c r="I25" s="144">
        <v>2</v>
      </c>
      <c r="J25" s="145"/>
    </row>
    <row r="26" spans="2:26" ht="16.5" thickBot="1" x14ac:dyDescent="0.3">
      <c r="B26" s="129" t="str">
        <f>References!$C$3</f>
        <v>Temp</v>
      </c>
      <c r="C26" s="143" t="str">
        <f>References!$A$2</f>
        <v>dmg</v>
      </c>
      <c r="D26" s="141">
        <v>1</v>
      </c>
      <c r="E26" s="142">
        <v>2</v>
      </c>
      <c r="G26" s="13"/>
      <c r="H26" s="13"/>
      <c r="I26" s="156"/>
      <c r="J26" s="156"/>
    </row>
    <row r="28" spans="2:26" x14ac:dyDescent="0.25">
      <c r="H28" t="s">
        <v>169</v>
      </c>
    </row>
    <row r="29" spans="2:26" ht="15.75" thickBot="1" x14ac:dyDescent="0.3"/>
    <row r="30" spans="2:26" ht="15.75" x14ac:dyDescent="0.25">
      <c r="C30" s="224" t="str">
        <f>References!$F$2</f>
        <v>Name</v>
      </c>
      <c r="D30" s="225"/>
      <c r="E30" s="222" t="s">
        <v>170</v>
      </c>
      <c r="F30" s="223"/>
      <c r="M30" s="224" t="str">
        <f>References!$F$2</f>
        <v>Name</v>
      </c>
      <c r="N30" s="225"/>
      <c r="O30" s="222" t="s">
        <v>165</v>
      </c>
      <c r="P30" s="223"/>
      <c r="W30" s="224" t="str">
        <f>References!$F$2</f>
        <v>Name</v>
      </c>
      <c r="X30" s="225"/>
      <c r="Y30" s="222" t="s">
        <v>159</v>
      </c>
      <c r="Z30" s="223"/>
    </row>
    <row r="31" spans="2:26" ht="15.75" x14ac:dyDescent="0.25">
      <c r="C31" s="212" t="str">
        <f>References!$F$3</f>
        <v>Class</v>
      </c>
      <c r="D31" s="213"/>
      <c r="E31" s="218" t="str">
        <f>References!$E$10</f>
        <v>Leech</v>
      </c>
      <c r="F31" s="219"/>
      <c r="M31" s="212" t="str">
        <f>References!$F$3</f>
        <v>Class</v>
      </c>
      <c r="N31" s="213"/>
      <c r="O31" s="218" t="str">
        <f>References!$E$7</f>
        <v>Assassin</v>
      </c>
      <c r="P31" s="219"/>
      <c r="W31" s="212" t="str">
        <f>References!$F$3</f>
        <v>Class</v>
      </c>
      <c r="X31" s="213"/>
      <c r="Y31" s="218" t="str">
        <f>References!$E$6</f>
        <v>Trickster</v>
      </c>
      <c r="Z31" s="219"/>
    </row>
    <row r="32" spans="2:26" ht="15.75" x14ac:dyDescent="0.25">
      <c r="C32" s="212" t="str">
        <f>References!$F$4</f>
        <v>Type</v>
      </c>
      <c r="D32" s="213"/>
      <c r="E32" s="218" t="str">
        <f>References!$B$2</f>
        <v>Offensive</v>
      </c>
      <c r="F32" s="219"/>
      <c r="M32" s="212" t="str">
        <f>References!$F$4</f>
        <v>Type</v>
      </c>
      <c r="N32" s="213"/>
      <c r="O32" s="218" t="str">
        <f>References!$B$4</f>
        <v>Passive</v>
      </c>
      <c r="P32" s="219"/>
      <c r="W32" s="212" t="str">
        <f>References!$F$4</f>
        <v>Type</v>
      </c>
      <c r="X32" s="213"/>
      <c r="Y32" s="218" t="str">
        <f>References!$B$3</f>
        <v>Defensive</v>
      </c>
      <c r="Z32" s="219"/>
    </row>
    <row r="33" spans="1:29" ht="15.75" x14ac:dyDescent="0.25">
      <c r="C33" s="212" t="str">
        <f>References!$F$5</f>
        <v>Nb. Targets</v>
      </c>
      <c r="D33" s="213"/>
      <c r="E33" s="218">
        <v>1</v>
      </c>
      <c r="F33" s="219"/>
      <c r="M33" s="212" t="str">
        <f>References!$F$5</f>
        <v>Nb. Targets</v>
      </c>
      <c r="N33" s="213"/>
      <c r="O33" s="229"/>
      <c r="P33" s="234"/>
      <c r="W33" s="212" t="str">
        <f>References!$F$5</f>
        <v>Nb. Targets</v>
      </c>
      <c r="X33" s="213"/>
      <c r="Y33" s="218">
        <v>3</v>
      </c>
      <c r="Z33" s="219"/>
    </row>
    <row r="34" spans="1:29" ht="16.5" thickBot="1" x14ac:dyDescent="0.3">
      <c r="C34" s="214" t="str">
        <f>References!$F$6</f>
        <v>Energy cost</v>
      </c>
      <c r="D34" s="215"/>
      <c r="E34" s="216">
        <v>2</v>
      </c>
      <c r="F34" s="217"/>
      <c r="M34" s="214" t="str">
        <f>References!$F$6</f>
        <v>Energy cost</v>
      </c>
      <c r="N34" s="215"/>
      <c r="O34" s="232"/>
      <c r="P34" s="233"/>
      <c r="W34" s="214" t="str">
        <f>References!$F$6</f>
        <v>Energy cost</v>
      </c>
      <c r="X34" s="215"/>
      <c r="Y34" s="216">
        <v>2</v>
      </c>
      <c r="Z34" s="217"/>
    </row>
    <row r="35" spans="1:29" ht="15.75" x14ac:dyDescent="0.25">
      <c r="C35" s="212" t="s">
        <v>111</v>
      </c>
      <c r="D35" s="213"/>
      <c r="E35" s="210">
        <v>1</v>
      </c>
      <c r="F35" s="211"/>
      <c r="M35" s="212" t="s">
        <v>111</v>
      </c>
      <c r="N35" s="213"/>
      <c r="O35" s="210">
        <v>3</v>
      </c>
      <c r="P35" s="211"/>
      <c r="W35" s="212" t="s">
        <v>111</v>
      </c>
      <c r="X35" s="213"/>
      <c r="Y35" s="210">
        <v>1</v>
      </c>
      <c r="Z35" s="211"/>
    </row>
    <row r="36" spans="1:29" ht="16.5" thickBot="1" x14ac:dyDescent="0.3">
      <c r="C36" s="214" t="s">
        <v>110</v>
      </c>
      <c r="D36" s="215"/>
      <c r="E36" s="208">
        <v>0.5</v>
      </c>
      <c r="F36" s="230"/>
      <c r="M36" s="214" t="s">
        <v>110</v>
      </c>
      <c r="N36" s="215"/>
      <c r="O36" s="208">
        <v>0</v>
      </c>
      <c r="P36" s="230"/>
      <c r="W36" s="214" t="s">
        <v>110</v>
      </c>
      <c r="X36" s="215"/>
      <c r="Y36" s="208">
        <v>0.33300000000000002</v>
      </c>
      <c r="Z36" s="230"/>
    </row>
    <row r="37" spans="1:29" ht="16.5" thickBot="1" x14ac:dyDescent="0.3">
      <c r="C37" s="133" t="str">
        <f>References!$G$2</f>
        <v>Type</v>
      </c>
      <c r="D37" s="135" t="str">
        <f>References!$G$3</f>
        <v>Stat</v>
      </c>
      <c r="E37" s="146" t="str">
        <f>References!$G$7</f>
        <v>Nb</v>
      </c>
      <c r="F37" s="147" t="str">
        <f>References!$G$8</f>
        <v>Turns</v>
      </c>
      <c r="M37" s="133" t="str">
        <f>References!$G$2</f>
        <v>Type</v>
      </c>
      <c r="N37" s="135" t="str">
        <f>References!$G$3</f>
        <v>Stat</v>
      </c>
      <c r="O37" s="146" t="str">
        <f>References!$G$7</f>
        <v>Nb</v>
      </c>
      <c r="P37" s="147" t="str">
        <f>References!$G$8</f>
        <v>Turns</v>
      </c>
      <c r="W37" s="133" t="str">
        <f>References!$G$2</f>
        <v>Type</v>
      </c>
      <c r="X37" s="135" t="str">
        <f>References!$G$3</f>
        <v>Stat</v>
      </c>
      <c r="Y37" s="146" t="str">
        <f>References!$G$7</f>
        <v>Nb</v>
      </c>
      <c r="Z37" s="147" t="str">
        <f>References!$G$8</f>
        <v>Turns</v>
      </c>
    </row>
    <row r="38" spans="1:29" ht="16.5" thickBot="1" x14ac:dyDescent="0.3">
      <c r="C38" s="127" t="str">
        <f>References!$C$2</f>
        <v>Direct</v>
      </c>
      <c r="D38" s="143" t="str">
        <f>References!$A$2</f>
        <v>dmg</v>
      </c>
      <c r="E38" s="144">
        <v>2</v>
      </c>
      <c r="F38" s="145"/>
      <c r="M38" s="206"/>
      <c r="N38" s="203"/>
      <c r="O38" s="206"/>
      <c r="P38" s="203"/>
      <c r="W38" s="127" t="str">
        <f>References!$C$2</f>
        <v>Direct</v>
      </c>
      <c r="X38" s="143" t="str">
        <f>References!$A$3</f>
        <v>hp</v>
      </c>
      <c r="Y38" s="144">
        <v>3</v>
      </c>
      <c r="Z38" s="145"/>
    </row>
    <row r="39" spans="1:29" ht="16.5" thickBot="1" x14ac:dyDescent="0.3">
      <c r="C39" s="127" t="str">
        <f>References!$C$4</f>
        <v>SelfDirect</v>
      </c>
      <c r="D39" s="143" t="str">
        <f>References!$A$3</f>
        <v>hp</v>
      </c>
      <c r="E39" s="141">
        <v>2</v>
      </c>
      <c r="F39" s="145"/>
      <c r="M39" s="13"/>
      <c r="N39" s="13"/>
      <c r="O39" s="156"/>
      <c r="P39" s="156"/>
      <c r="S39" t="s">
        <v>168</v>
      </c>
      <c r="W39" s="127" t="str">
        <f>References!$C$2</f>
        <v>Direct</v>
      </c>
      <c r="X39" s="143" t="s">
        <v>47</v>
      </c>
      <c r="Y39" s="144">
        <v>-2</v>
      </c>
      <c r="Z39" s="145"/>
    </row>
    <row r="44" spans="1:29" ht="15.75" thickBot="1" x14ac:dyDescent="0.3"/>
    <row r="45" spans="1:29" ht="15.75" x14ac:dyDescent="0.25">
      <c r="A45" s="224" t="str">
        <f>References!$F$2</f>
        <v>Name</v>
      </c>
      <c r="B45" s="225"/>
      <c r="C45" s="222" t="s">
        <v>174</v>
      </c>
      <c r="D45" s="223"/>
      <c r="F45" s="224" t="str">
        <f>References!$F$2</f>
        <v>Name</v>
      </c>
      <c r="G45" s="225"/>
      <c r="H45" s="222" t="s">
        <v>171</v>
      </c>
      <c r="I45" s="223"/>
      <c r="K45" s="224" t="str">
        <f>References!$F$2</f>
        <v>Name</v>
      </c>
      <c r="L45" s="225"/>
      <c r="M45" s="222" t="s">
        <v>166</v>
      </c>
      <c r="N45" s="223"/>
      <c r="P45" s="224" t="str">
        <f>References!$F$2</f>
        <v>Name</v>
      </c>
      <c r="Q45" s="225"/>
      <c r="R45" s="222" t="s">
        <v>167</v>
      </c>
      <c r="S45" s="223"/>
      <c r="U45" s="224" t="str">
        <f>References!$F$2</f>
        <v>Name</v>
      </c>
      <c r="V45" s="225"/>
      <c r="W45" s="222" t="s">
        <v>172</v>
      </c>
      <c r="X45" s="223"/>
      <c r="Z45" s="224" t="str">
        <f>References!$F$2</f>
        <v>Name</v>
      </c>
      <c r="AA45" s="225"/>
      <c r="AB45" s="222" t="s">
        <v>173</v>
      </c>
      <c r="AC45" s="223"/>
    </row>
    <row r="46" spans="1:29" ht="15.75" x14ac:dyDescent="0.25">
      <c r="A46" s="212" t="str">
        <f>References!$F$3</f>
        <v>Class</v>
      </c>
      <c r="B46" s="213"/>
      <c r="C46" s="218" t="str">
        <f>References!$E$10</f>
        <v>Leech</v>
      </c>
      <c r="D46" s="219"/>
      <c r="F46" s="212" t="str">
        <f>References!$F$3</f>
        <v>Class</v>
      </c>
      <c r="G46" s="213"/>
      <c r="H46" s="218" t="str">
        <f>References!$E$10</f>
        <v>Leech</v>
      </c>
      <c r="I46" s="219"/>
      <c r="K46" s="212" t="str">
        <f>References!$F$3</f>
        <v>Class</v>
      </c>
      <c r="L46" s="213"/>
      <c r="M46" s="218" t="str">
        <f>References!$E$7</f>
        <v>Assassin</v>
      </c>
      <c r="N46" s="219"/>
      <c r="P46" s="212" t="str">
        <f>References!$F$3</f>
        <v>Class</v>
      </c>
      <c r="Q46" s="213"/>
      <c r="R46" s="218" t="str">
        <f>References!$E$7</f>
        <v>Assassin</v>
      </c>
      <c r="S46" s="219"/>
      <c r="U46" s="212" t="str">
        <f>References!$F$3</f>
        <v>Class</v>
      </c>
      <c r="V46" s="213"/>
      <c r="W46" s="218" t="str">
        <f>References!$E$6</f>
        <v>Trickster</v>
      </c>
      <c r="X46" s="219"/>
      <c r="Z46" s="212" t="str">
        <f>References!$F$3</f>
        <v>Class</v>
      </c>
      <c r="AA46" s="213"/>
      <c r="AB46" s="218" t="str">
        <f>References!$E$6</f>
        <v>Trickster</v>
      </c>
      <c r="AC46" s="219"/>
    </row>
    <row r="47" spans="1:29" ht="15.75" x14ac:dyDescent="0.25">
      <c r="A47" s="212" t="str">
        <f>References!$F$4</f>
        <v>Type</v>
      </c>
      <c r="B47" s="213"/>
      <c r="C47" s="218" t="str">
        <f>References!$B$2</f>
        <v>Offensive</v>
      </c>
      <c r="D47" s="219"/>
      <c r="F47" s="212" t="str">
        <f>References!$F$4</f>
        <v>Type</v>
      </c>
      <c r="G47" s="213"/>
      <c r="H47" s="218" t="str">
        <f>References!$B$3</f>
        <v>Defensive</v>
      </c>
      <c r="I47" s="219"/>
      <c r="K47" s="212" t="str">
        <f>References!$F$4</f>
        <v>Type</v>
      </c>
      <c r="L47" s="213"/>
      <c r="M47" s="218" t="str">
        <f>References!$B$3</f>
        <v>Defensive</v>
      </c>
      <c r="N47" s="219"/>
      <c r="P47" s="212" t="str">
        <f>References!$F$4</f>
        <v>Type</v>
      </c>
      <c r="Q47" s="213"/>
      <c r="R47" s="218" t="str">
        <f>References!$B$3</f>
        <v>Defensive</v>
      </c>
      <c r="S47" s="219"/>
      <c r="U47" s="212" t="str">
        <f>References!$F$4</f>
        <v>Type</v>
      </c>
      <c r="V47" s="213"/>
      <c r="W47" s="218" t="str">
        <f>References!$B$2</f>
        <v>Offensive</v>
      </c>
      <c r="X47" s="219"/>
      <c r="Z47" s="212" t="str">
        <f>References!$F$4</f>
        <v>Type</v>
      </c>
      <c r="AA47" s="213"/>
      <c r="AB47" s="218" t="str">
        <f>References!$B$2</f>
        <v>Offensive</v>
      </c>
      <c r="AC47" s="219"/>
    </row>
    <row r="48" spans="1:29" ht="15.75" x14ac:dyDescent="0.25">
      <c r="A48" s="212" t="str">
        <f>References!$F$5</f>
        <v>Nb. Targets</v>
      </c>
      <c r="B48" s="213"/>
      <c r="C48" s="218">
        <v>1</v>
      </c>
      <c r="D48" s="219"/>
      <c r="F48" s="212" t="str">
        <f>References!$F$5</f>
        <v>Nb. Targets</v>
      </c>
      <c r="G48" s="213"/>
      <c r="H48" s="218">
        <v>1</v>
      </c>
      <c r="I48" s="219"/>
      <c r="K48" s="212" t="str">
        <f>References!$F$5</f>
        <v>Nb. Targets</v>
      </c>
      <c r="L48" s="213"/>
      <c r="M48" s="218">
        <v>3</v>
      </c>
      <c r="N48" s="219"/>
      <c r="P48" s="212" t="str">
        <f>References!$F$5</f>
        <v>Nb. Targets</v>
      </c>
      <c r="Q48" s="213"/>
      <c r="R48" s="218">
        <v>1</v>
      </c>
      <c r="S48" s="219"/>
      <c r="U48" s="212" t="str">
        <f>References!$F$5</f>
        <v>Nb. Targets</v>
      </c>
      <c r="V48" s="213"/>
      <c r="W48" s="218">
        <v>1</v>
      </c>
      <c r="X48" s="219"/>
      <c r="Z48" s="212" t="str">
        <f>References!$F$5</f>
        <v>Nb. Targets</v>
      </c>
      <c r="AA48" s="213"/>
      <c r="AB48" s="218">
        <v>3</v>
      </c>
      <c r="AC48" s="219"/>
    </row>
    <row r="49" spans="1:29" ht="16.5" thickBot="1" x14ac:dyDescent="0.3">
      <c r="A49" s="214" t="str">
        <f>References!$F$6</f>
        <v>Energy cost</v>
      </c>
      <c r="B49" s="215"/>
      <c r="C49" s="216">
        <v>3</v>
      </c>
      <c r="D49" s="217"/>
      <c r="F49" s="214" t="str">
        <f>References!$F$6</f>
        <v>Energy cost</v>
      </c>
      <c r="G49" s="215"/>
      <c r="H49" s="216">
        <v>3</v>
      </c>
      <c r="I49" s="217"/>
      <c r="K49" s="214" t="str">
        <f>References!$F$6</f>
        <v>Energy cost</v>
      </c>
      <c r="L49" s="215"/>
      <c r="M49" s="216">
        <v>2</v>
      </c>
      <c r="N49" s="217"/>
      <c r="P49" s="214" t="str">
        <f>References!$F$6</f>
        <v>Energy cost</v>
      </c>
      <c r="Q49" s="215"/>
      <c r="R49" s="216">
        <v>3</v>
      </c>
      <c r="S49" s="217"/>
      <c r="U49" s="214" t="str">
        <f>References!$F$6</f>
        <v>Energy cost</v>
      </c>
      <c r="V49" s="215"/>
      <c r="W49" s="216">
        <v>3</v>
      </c>
      <c r="X49" s="217"/>
      <c r="Z49" s="214" t="str">
        <f>References!$F$6</f>
        <v>Energy cost</v>
      </c>
      <c r="AA49" s="215"/>
      <c r="AB49" s="216">
        <v>1</v>
      </c>
      <c r="AC49" s="231"/>
    </row>
    <row r="50" spans="1:29" ht="15.75" x14ac:dyDescent="0.25">
      <c r="A50" s="212" t="s">
        <v>111</v>
      </c>
      <c r="B50" s="213"/>
      <c r="C50" s="210">
        <v>3</v>
      </c>
      <c r="D50" s="211"/>
      <c r="F50" s="212" t="s">
        <v>111</v>
      </c>
      <c r="G50" s="213"/>
      <c r="H50" s="210">
        <v>2</v>
      </c>
      <c r="I50" s="211"/>
      <c r="K50" s="212" t="s">
        <v>111</v>
      </c>
      <c r="L50" s="213"/>
      <c r="M50" s="210">
        <v>3</v>
      </c>
      <c r="N50" s="211"/>
      <c r="P50" s="212" t="s">
        <v>111</v>
      </c>
      <c r="Q50" s="213"/>
      <c r="R50" s="210">
        <v>2</v>
      </c>
      <c r="S50" s="211"/>
      <c r="U50" s="212" t="s">
        <v>111</v>
      </c>
      <c r="V50" s="213"/>
      <c r="W50" s="210">
        <v>2</v>
      </c>
      <c r="X50" s="211"/>
      <c r="Z50" s="212" t="s">
        <v>111</v>
      </c>
      <c r="AA50" s="213"/>
      <c r="AB50" s="210">
        <v>2</v>
      </c>
      <c r="AC50" s="211"/>
    </row>
    <row r="51" spans="1:29" ht="16.5" thickBot="1" x14ac:dyDescent="0.3">
      <c r="A51" s="214" t="s">
        <v>110</v>
      </c>
      <c r="B51" s="215"/>
      <c r="C51" s="208">
        <v>0.5</v>
      </c>
      <c r="D51" s="230"/>
      <c r="F51" s="214" t="s">
        <v>110</v>
      </c>
      <c r="G51" s="215"/>
      <c r="H51" s="208">
        <v>0</v>
      </c>
      <c r="I51" s="230"/>
      <c r="K51" s="214" t="s">
        <v>110</v>
      </c>
      <c r="L51" s="215"/>
      <c r="M51" s="208">
        <v>0</v>
      </c>
      <c r="N51" s="230"/>
      <c r="P51" s="214" t="s">
        <v>110</v>
      </c>
      <c r="Q51" s="215"/>
      <c r="R51" s="208">
        <v>0.5</v>
      </c>
      <c r="S51" s="230"/>
      <c r="U51" s="214" t="s">
        <v>110</v>
      </c>
      <c r="V51" s="215"/>
      <c r="W51" s="208">
        <v>0</v>
      </c>
      <c r="X51" s="230"/>
      <c r="Z51" s="214" t="s">
        <v>110</v>
      </c>
      <c r="AA51" s="215"/>
      <c r="AB51" s="208">
        <v>0</v>
      </c>
      <c r="AC51" s="230"/>
    </row>
    <row r="52" spans="1:29" ht="16.5" thickBot="1" x14ac:dyDescent="0.3">
      <c r="A52" s="133" t="str">
        <f>References!$G$2</f>
        <v>Type</v>
      </c>
      <c r="B52" s="135" t="str">
        <f>References!$G$3</f>
        <v>Stat</v>
      </c>
      <c r="C52" s="146" t="str">
        <f>References!$G$7</f>
        <v>Nb</v>
      </c>
      <c r="D52" s="147" t="str">
        <f>References!$G$8</f>
        <v>Turns</v>
      </c>
      <c r="F52" s="133" t="str">
        <f>References!$G$2</f>
        <v>Type</v>
      </c>
      <c r="G52" s="135" t="str">
        <f>References!$G$3</f>
        <v>Stat</v>
      </c>
      <c r="H52" s="146" t="str">
        <f>References!$G$7</f>
        <v>Nb</v>
      </c>
      <c r="I52" s="147" t="str">
        <f>References!$G$8</f>
        <v>Turns</v>
      </c>
      <c r="K52" s="133" t="str">
        <f>References!$G$2</f>
        <v>Type</v>
      </c>
      <c r="L52" s="135" t="str">
        <f>References!$G$3</f>
        <v>Stat</v>
      </c>
      <c r="M52" s="146" t="str">
        <f>References!$G$7</f>
        <v>Nb</v>
      </c>
      <c r="N52" s="147" t="str">
        <f>References!$G$8</f>
        <v>Turns</v>
      </c>
      <c r="P52" s="133" t="str">
        <f>References!$G$2</f>
        <v>Type</v>
      </c>
      <c r="Q52" s="135" t="str">
        <f>References!$G$3</f>
        <v>Stat</v>
      </c>
      <c r="R52" s="146" t="str">
        <f>References!$G$7</f>
        <v>Nb</v>
      </c>
      <c r="S52" s="147" t="str">
        <f>References!$G$8</f>
        <v>Turns</v>
      </c>
      <c r="U52" s="133" t="str">
        <f>References!$G$2</f>
        <v>Type</v>
      </c>
      <c r="V52" s="135" t="str">
        <f>References!$G$3</f>
        <v>Stat</v>
      </c>
      <c r="W52" s="146" t="str">
        <f>References!$G$7</f>
        <v>Nb</v>
      </c>
      <c r="X52" s="147" t="str">
        <f>References!$G$8</f>
        <v>Turns</v>
      </c>
      <c r="Z52" s="133" t="str">
        <f>References!$G$2</f>
        <v>Type</v>
      </c>
      <c r="AA52" s="135" t="str">
        <f>References!$G$3</f>
        <v>Stat</v>
      </c>
      <c r="AB52" s="146" t="str">
        <f>References!$G$7</f>
        <v>Nb</v>
      </c>
      <c r="AC52" s="147" t="str">
        <f>References!$G$8</f>
        <v>Turns</v>
      </c>
    </row>
    <row r="53" spans="1:29" ht="16.5" thickBot="1" x14ac:dyDescent="0.3">
      <c r="A53" s="127" t="str">
        <f>References!$C$2</f>
        <v>Direct</v>
      </c>
      <c r="B53" s="143" t="str">
        <f>References!$A$2</f>
        <v>dmg</v>
      </c>
      <c r="C53" s="144">
        <v>10</v>
      </c>
      <c r="D53" s="145"/>
      <c r="F53" s="127" t="str">
        <f>References!$C$2</f>
        <v>Direct</v>
      </c>
      <c r="G53" s="143" t="str">
        <f>References!$A$2</f>
        <v>dmg</v>
      </c>
      <c r="H53" s="144">
        <v>3</v>
      </c>
      <c r="I53" s="145"/>
      <c r="K53" s="127" t="s">
        <v>11</v>
      </c>
      <c r="L53" s="143" t="s">
        <v>128</v>
      </c>
      <c r="M53" s="144" t="s">
        <v>131</v>
      </c>
      <c r="N53" s="142">
        <v>1</v>
      </c>
      <c r="P53" s="127" t="str">
        <f>References!$C$2</f>
        <v>Direct</v>
      </c>
      <c r="Q53" s="143" t="str">
        <f>References!$A$2</f>
        <v>dmg</v>
      </c>
      <c r="R53" s="144">
        <v>4</v>
      </c>
      <c r="S53" s="145"/>
      <c r="U53" s="129" t="str">
        <f>References!$C$2</f>
        <v>Direct</v>
      </c>
      <c r="V53" s="139" t="str">
        <f>References!$A$2</f>
        <v>dmg</v>
      </c>
      <c r="W53" s="141">
        <v>3</v>
      </c>
      <c r="X53" s="175"/>
      <c r="Z53" s="197" t="str">
        <f>References!$C$2</f>
        <v>Direct</v>
      </c>
      <c r="AA53" s="198" t="str">
        <f>References!$A$5</f>
        <v>def</v>
      </c>
      <c r="AB53" s="199">
        <v>2</v>
      </c>
      <c r="AC53" s="203"/>
    </row>
    <row r="54" spans="1:29" ht="16.5" thickBot="1" x14ac:dyDescent="0.3">
      <c r="A54" s="127" t="str">
        <f>References!$C$4</f>
        <v>SelfDirect</v>
      </c>
      <c r="B54" s="143" t="str">
        <f>References!$A$3</f>
        <v>hp</v>
      </c>
      <c r="C54" s="141">
        <v>-4</v>
      </c>
      <c r="D54" s="145"/>
      <c r="F54" s="127" t="str">
        <f>References!$C$2</f>
        <v>Direct</v>
      </c>
      <c r="G54" s="143" t="str">
        <f>References!$A$4</f>
        <v>enrg</v>
      </c>
      <c r="H54" s="141">
        <v>2</v>
      </c>
      <c r="I54" s="145"/>
      <c r="K54" s="129" t="s">
        <v>11</v>
      </c>
      <c r="L54" s="143" t="s">
        <v>130</v>
      </c>
      <c r="M54" s="207">
        <v>1</v>
      </c>
      <c r="N54" s="142">
        <v>1</v>
      </c>
      <c r="P54" s="127" t="s">
        <v>11</v>
      </c>
      <c r="Q54" s="143" t="s">
        <v>46</v>
      </c>
      <c r="R54" s="141">
        <v>4</v>
      </c>
      <c r="S54" s="142">
        <v>2</v>
      </c>
      <c r="U54" s="127" t="str">
        <f>References!$C$2</f>
        <v>Direct</v>
      </c>
      <c r="V54" s="143" t="str">
        <f>References!$A$8</f>
        <v>stun</v>
      </c>
      <c r="W54" s="141">
        <v>1</v>
      </c>
      <c r="X54" s="145"/>
      <c r="Z54" s="13"/>
      <c r="AA54" s="13"/>
      <c r="AB54" s="156"/>
      <c r="AC54" s="156"/>
    </row>
    <row r="55" spans="1:29" ht="15.75" x14ac:dyDescent="0.25">
      <c r="Z55" s="13"/>
      <c r="AA55" s="13"/>
      <c r="AB55" s="156"/>
      <c r="AC55" s="156"/>
    </row>
  </sheetData>
  <mergeCells count="196">
    <mergeCell ref="B3:C3"/>
    <mergeCell ref="D3:E3"/>
    <mergeCell ref="G3:H3"/>
    <mergeCell ref="I3:J3"/>
    <mergeCell ref="L3:M3"/>
    <mergeCell ref="N3:O3"/>
    <mergeCell ref="B5:C5"/>
    <mergeCell ref="D5:E5"/>
    <mergeCell ref="G5:H5"/>
    <mergeCell ref="I5:J5"/>
    <mergeCell ref="L5:M5"/>
    <mergeCell ref="N5:O5"/>
    <mergeCell ref="B4:C4"/>
    <mergeCell ref="D4:E4"/>
    <mergeCell ref="G4:H4"/>
    <mergeCell ref="I4:J4"/>
    <mergeCell ref="L4:M4"/>
    <mergeCell ref="N4:O4"/>
    <mergeCell ref="B7:C7"/>
    <mergeCell ref="D7:E7"/>
    <mergeCell ref="G7:H7"/>
    <mergeCell ref="I7:J7"/>
    <mergeCell ref="L7:M7"/>
    <mergeCell ref="N7:O7"/>
    <mergeCell ref="B6:C6"/>
    <mergeCell ref="D6:E6"/>
    <mergeCell ref="G6:H6"/>
    <mergeCell ref="I6:J6"/>
    <mergeCell ref="L6:M6"/>
    <mergeCell ref="N6:O6"/>
    <mergeCell ref="B9:C9"/>
    <mergeCell ref="D9:E9"/>
    <mergeCell ref="G9:H9"/>
    <mergeCell ref="I9:J9"/>
    <mergeCell ref="L9:M9"/>
    <mergeCell ref="N9:O9"/>
    <mergeCell ref="B8:C8"/>
    <mergeCell ref="D8:E8"/>
    <mergeCell ref="G8:H8"/>
    <mergeCell ref="I8:J8"/>
    <mergeCell ref="L8:M8"/>
    <mergeCell ref="N8:O8"/>
    <mergeCell ref="B19:C19"/>
    <mergeCell ref="D19:E19"/>
    <mergeCell ref="G19:H19"/>
    <mergeCell ref="I19:J19"/>
    <mergeCell ref="B20:C20"/>
    <mergeCell ref="D20:E20"/>
    <mergeCell ref="G20:H20"/>
    <mergeCell ref="I20:J20"/>
    <mergeCell ref="B17:C17"/>
    <mergeCell ref="D17:E17"/>
    <mergeCell ref="G17:H17"/>
    <mergeCell ref="I17:J17"/>
    <mergeCell ref="B18:C18"/>
    <mergeCell ref="D18:E18"/>
    <mergeCell ref="G18:H18"/>
    <mergeCell ref="I18:J18"/>
    <mergeCell ref="B23:C23"/>
    <mergeCell ref="D23:E23"/>
    <mergeCell ref="G23:H23"/>
    <mergeCell ref="I23:J23"/>
    <mergeCell ref="B21:C21"/>
    <mergeCell ref="D21:E21"/>
    <mergeCell ref="G21:H21"/>
    <mergeCell ref="I21:J21"/>
    <mergeCell ref="B22:C22"/>
    <mergeCell ref="D22:E22"/>
    <mergeCell ref="G22:H22"/>
    <mergeCell ref="I22:J22"/>
    <mergeCell ref="M32:N32"/>
    <mergeCell ref="O32:P32"/>
    <mergeCell ref="W32:X32"/>
    <mergeCell ref="Y32:Z32"/>
    <mergeCell ref="M30:N30"/>
    <mergeCell ref="O30:P30"/>
    <mergeCell ref="W30:X30"/>
    <mergeCell ref="Y30:Z30"/>
    <mergeCell ref="M31:N31"/>
    <mergeCell ref="O31:P31"/>
    <mergeCell ref="W31:X31"/>
    <mergeCell ref="Y31:Z31"/>
    <mergeCell ref="M35:N35"/>
    <mergeCell ref="O35:P35"/>
    <mergeCell ref="W35:X35"/>
    <mergeCell ref="Y35:Z35"/>
    <mergeCell ref="M34:N34"/>
    <mergeCell ref="O34:P34"/>
    <mergeCell ref="W34:X34"/>
    <mergeCell ref="Y34:Z34"/>
    <mergeCell ref="M33:N33"/>
    <mergeCell ref="O33:P33"/>
    <mergeCell ref="W33:X33"/>
    <mergeCell ref="Y33:Z33"/>
    <mergeCell ref="P45:Q45"/>
    <mergeCell ref="R45:S45"/>
    <mergeCell ref="U45:V45"/>
    <mergeCell ref="W45:X45"/>
    <mergeCell ref="Z45:AA45"/>
    <mergeCell ref="AB45:AC45"/>
    <mergeCell ref="K45:L45"/>
    <mergeCell ref="M45:N45"/>
    <mergeCell ref="M36:N36"/>
    <mergeCell ref="O36:P36"/>
    <mergeCell ref="W36:X36"/>
    <mergeCell ref="Y36:Z36"/>
    <mergeCell ref="P47:Q47"/>
    <mergeCell ref="R47:S47"/>
    <mergeCell ref="U47:V47"/>
    <mergeCell ref="W47:X47"/>
    <mergeCell ref="Z47:AA47"/>
    <mergeCell ref="AB47:AC47"/>
    <mergeCell ref="K47:L47"/>
    <mergeCell ref="M47:N47"/>
    <mergeCell ref="P46:Q46"/>
    <mergeCell ref="R46:S46"/>
    <mergeCell ref="U46:V46"/>
    <mergeCell ref="W46:X46"/>
    <mergeCell ref="Z46:AA46"/>
    <mergeCell ref="AB46:AC46"/>
    <mergeCell ref="K46:L46"/>
    <mergeCell ref="M46:N46"/>
    <mergeCell ref="P49:Q49"/>
    <mergeCell ref="R49:S49"/>
    <mergeCell ref="U49:V49"/>
    <mergeCell ref="W49:X49"/>
    <mergeCell ref="Z49:AA49"/>
    <mergeCell ref="AB49:AC49"/>
    <mergeCell ref="K49:L49"/>
    <mergeCell ref="M49:N49"/>
    <mergeCell ref="P48:Q48"/>
    <mergeCell ref="R48:S48"/>
    <mergeCell ref="U48:V48"/>
    <mergeCell ref="W48:X48"/>
    <mergeCell ref="Z48:AA48"/>
    <mergeCell ref="AB48:AC48"/>
    <mergeCell ref="K48:L48"/>
    <mergeCell ref="M48:N48"/>
    <mergeCell ref="P51:Q51"/>
    <mergeCell ref="R51:S51"/>
    <mergeCell ref="U51:V51"/>
    <mergeCell ref="W51:X51"/>
    <mergeCell ref="Z51:AA51"/>
    <mergeCell ref="AB51:AC51"/>
    <mergeCell ref="K51:L51"/>
    <mergeCell ref="M51:N51"/>
    <mergeCell ref="P50:Q50"/>
    <mergeCell ref="R50:S50"/>
    <mergeCell ref="U50:V50"/>
    <mergeCell ref="W50:X50"/>
    <mergeCell ref="Z50:AA50"/>
    <mergeCell ref="AB50:AC50"/>
    <mergeCell ref="K50:L50"/>
    <mergeCell ref="M50:N50"/>
    <mergeCell ref="C33:D33"/>
    <mergeCell ref="E33:F33"/>
    <mergeCell ref="C34:D34"/>
    <mergeCell ref="E34:F34"/>
    <mergeCell ref="C35:D35"/>
    <mergeCell ref="E35:F35"/>
    <mergeCell ref="C30:D30"/>
    <mergeCell ref="E30:F30"/>
    <mergeCell ref="C31:D31"/>
    <mergeCell ref="E31:F31"/>
    <mergeCell ref="C32:D32"/>
    <mergeCell ref="E32:F32"/>
    <mergeCell ref="A46:B46"/>
    <mergeCell ref="C46:D46"/>
    <mergeCell ref="F46:G46"/>
    <mergeCell ref="H46:I46"/>
    <mergeCell ref="A47:B47"/>
    <mergeCell ref="C47:D47"/>
    <mergeCell ref="F47:G47"/>
    <mergeCell ref="H47:I47"/>
    <mergeCell ref="C36:D36"/>
    <mergeCell ref="E36:F36"/>
    <mergeCell ref="A45:B45"/>
    <mergeCell ref="C45:D45"/>
    <mergeCell ref="F45:G45"/>
    <mergeCell ref="H45:I45"/>
    <mergeCell ref="A50:B50"/>
    <mergeCell ref="C50:D50"/>
    <mergeCell ref="F50:G50"/>
    <mergeCell ref="H50:I50"/>
    <mergeCell ref="A51:B51"/>
    <mergeCell ref="C51:D51"/>
    <mergeCell ref="F51:G51"/>
    <mergeCell ref="H51:I51"/>
    <mergeCell ref="A48:B48"/>
    <mergeCell ref="C48:D48"/>
    <mergeCell ref="F48:G48"/>
    <mergeCell ref="H48:I48"/>
    <mergeCell ref="A49:B49"/>
    <mergeCell ref="C49:D49"/>
    <mergeCell ref="F49:G49"/>
    <mergeCell ref="H49:I49"/>
  </mergeCells>
  <pageMargins left="0" right="0" top="0" bottom="0" header="0" footer="0"/>
  <pageSetup scale="5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D434D-0034-4178-B480-2625147DBEB7}">
  <sheetPr>
    <pageSetUpPr fitToPage="1"/>
  </sheetPr>
  <dimension ref="A3:AC56"/>
  <sheetViews>
    <sheetView topLeftCell="B13" workbookViewId="0">
      <selection activeCell="S40" sqref="S40"/>
    </sheetView>
  </sheetViews>
  <sheetFormatPr defaultRowHeight="15" x14ac:dyDescent="0.25"/>
  <sheetData>
    <row r="3" spans="2:15" ht="15.75" x14ac:dyDescent="0.25">
      <c r="B3" s="213" t="str">
        <f>References!$F$2</f>
        <v>Name</v>
      </c>
      <c r="C3" s="213"/>
      <c r="D3" s="218" t="s">
        <v>4</v>
      </c>
      <c r="E3" s="218"/>
      <c r="G3" s="213" t="str">
        <f>References!$F$2</f>
        <v>Name</v>
      </c>
      <c r="H3" s="213"/>
      <c r="I3" s="218" t="s">
        <v>132</v>
      </c>
      <c r="J3" s="218"/>
      <c r="L3" s="213" t="str">
        <f>References!$F$2</f>
        <v>Name</v>
      </c>
      <c r="M3" s="213"/>
      <c r="N3" s="218" t="s">
        <v>142</v>
      </c>
      <c r="O3" s="218"/>
    </row>
    <row r="4" spans="2:15" ht="15.75" x14ac:dyDescent="0.25">
      <c r="B4" s="213" t="str">
        <f>References!$F$3</f>
        <v>Class</v>
      </c>
      <c r="C4" s="213"/>
      <c r="D4" s="218" t="str">
        <f>References!$E$2</f>
        <v>Creature</v>
      </c>
      <c r="E4" s="218"/>
      <c r="G4" s="213" t="str">
        <f>References!$F$3</f>
        <v>Class</v>
      </c>
      <c r="H4" s="213"/>
      <c r="I4" s="218" t="str">
        <f>References!$E$2</f>
        <v>Creature</v>
      </c>
      <c r="J4" s="218"/>
      <c r="L4" s="213" t="str">
        <f>References!$F$3</f>
        <v>Class</v>
      </c>
      <c r="M4" s="213"/>
      <c r="N4" s="218" t="str">
        <f>References!$E$2</f>
        <v>Creature</v>
      </c>
      <c r="O4" s="218"/>
    </row>
    <row r="5" spans="2:15" ht="15.75" x14ac:dyDescent="0.25">
      <c r="B5" s="213" t="str">
        <f>References!$F$4</f>
        <v>Type</v>
      </c>
      <c r="C5" s="213"/>
      <c r="D5" s="229"/>
      <c r="E5" s="229"/>
      <c r="G5" s="213" t="str">
        <f>References!$F$4</f>
        <v>Type</v>
      </c>
      <c r="H5" s="213"/>
      <c r="I5" s="218" t="str">
        <f>References!$B$2</f>
        <v>Offensive</v>
      </c>
      <c r="J5" s="218"/>
      <c r="L5" s="213" t="str">
        <f>References!$F$4</f>
        <v>Type</v>
      </c>
      <c r="M5" s="213"/>
      <c r="N5" s="218" t="str">
        <f>References!$B$2</f>
        <v>Offensive</v>
      </c>
      <c r="O5" s="218"/>
    </row>
    <row r="6" spans="2:15" ht="15.75" x14ac:dyDescent="0.25">
      <c r="B6" s="213" t="str">
        <f>References!$F$5</f>
        <v>Nb. Targets</v>
      </c>
      <c r="C6" s="213"/>
      <c r="D6" s="229"/>
      <c r="E6" s="229"/>
      <c r="G6" s="213" t="str">
        <f>References!$F$5</f>
        <v>Nb. Targets</v>
      </c>
      <c r="H6" s="213"/>
      <c r="I6" s="218">
        <v>1</v>
      </c>
      <c r="J6" s="218"/>
      <c r="L6" s="213" t="str">
        <f>References!$F$5</f>
        <v>Nb. Targets</v>
      </c>
      <c r="M6" s="213"/>
      <c r="N6" s="218">
        <v>1</v>
      </c>
      <c r="O6" s="218"/>
    </row>
    <row r="7" spans="2:15" ht="15.75" x14ac:dyDescent="0.25">
      <c r="B7" s="213" t="str">
        <f>References!$F$6</f>
        <v>Energy cost</v>
      </c>
      <c r="C7" s="213"/>
      <c r="D7" s="218">
        <v>0</v>
      </c>
      <c r="E7" s="218"/>
      <c r="G7" s="213" t="str">
        <f>References!$F$6</f>
        <v>Energy cost</v>
      </c>
      <c r="H7" s="213"/>
      <c r="I7" s="218">
        <v>1</v>
      </c>
      <c r="J7" s="218"/>
      <c r="L7" s="213" t="str">
        <f>References!$F$6</f>
        <v>Energy cost</v>
      </c>
      <c r="M7" s="213"/>
      <c r="N7" s="218">
        <v>2</v>
      </c>
      <c r="O7" s="218"/>
    </row>
    <row r="8" spans="2:15" ht="15.75" x14ac:dyDescent="0.25">
      <c r="B8" s="213" t="s">
        <v>111</v>
      </c>
      <c r="C8" s="213"/>
      <c r="D8" s="210">
        <v>1</v>
      </c>
      <c r="E8" s="210"/>
      <c r="G8" s="213" t="s">
        <v>111</v>
      </c>
      <c r="H8" s="213"/>
      <c r="I8" s="210">
        <v>1</v>
      </c>
      <c r="J8" s="210"/>
      <c r="L8" s="213" t="s">
        <v>111</v>
      </c>
      <c r="M8" s="213"/>
      <c r="N8" s="210">
        <v>1</v>
      </c>
      <c r="O8" s="210"/>
    </row>
    <row r="9" spans="2:15" ht="15.75" x14ac:dyDescent="0.25">
      <c r="B9" s="213" t="s">
        <v>110</v>
      </c>
      <c r="C9" s="213"/>
      <c r="D9" s="210">
        <v>0</v>
      </c>
      <c r="E9" s="210"/>
      <c r="G9" s="213" t="s">
        <v>110</v>
      </c>
      <c r="H9" s="213"/>
      <c r="I9" s="210">
        <v>0</v>
      </c>
      <c r="J9" s="210"/>
      <c r="L9" s="213" t="s">
        <v>110</v>
      </c>
      <c r="M9" s="213"/>
      <c r="N9" s="210">
        <v>0</v>
      </c>
      <c r="O9" s="210"/>
    </row>
    <row r="10" spans="2:15" ht="16.5" thickBot="1" x14ac:dyDescent="0.3">
      <c r="B10" s="186" t="str">
        <f>References!$G$2</f>
        <v>Type</v>
      </c>
      <c r="C10" s="187" t="str">
        <f>References!$G$3</f>
        <v>Stat</v>
      </c>
      <c r="D10" s="188" t="str">
        <f>References!$G$7</f>
        <v>Nb</v>
      </c>
      <c r="E10" s="189" t="str">
        <f>References!$G$8</f>
        <v>Turns</v>
      </c>
      <c r="G10" s="186" t="str">
        <f>References!$G$2</f>
        <v>Type</v>
      </c>
      <c r="H10" s="187" t="str">
        <f>References!$G$3</f>
        <v>Stat</v>
      </c>
      <c r="I10" s="188" t="str">
        <f>References!$G$7</f>
        <v>Nb</v>
      </c>
      <c r="J10" s="189" t="str">
        <f>References!$G$8</f>
        <v>Turns</v>
      </c>
      <c r="L10" s="186" t="str">
        <f>References!$G$2</f>
        <v>Type</v>
      </c>
      <c r="M10" s="187" t="str">
        <f>References!$G$3</f>
        <v>Stat</v>
      </c>
      <c r="N10" s="190" t="str">
        <f>References!$G$7</f>
        <v>Nb</v>
      </c>
      <c r="O10" s="189" t="str">
        <f>References!$G$8</f>
        <v>Turns</v>
      </c>
    </row>
    <row r="11" spans="2:15" ht="16.5" thickBot="1" x14ac:dyDescent="0.3">
      <c r="B11" s="170"/>
      <c r="C11" s="145"/>
      <c r="D11" s="170"/>
      <c r="E11" s="172"/>
      <c r="G11" s="127" t="str">
        <f>References!$C$2</f>
        <v>Direct</v>
      </c>
      <c r="H11" s="143" t="str">
        <f>References!$A$2</f>
        <v>dmg</v>
      </c>
      <c r="I11" s="144">
        <v>2</v>
      </c>
      <c r="J11" s="172"/>
      <c r="L11" s="127" t="str">
        <f>References!$C$2</f>
        <v>Direct</v>
      </c>
      <c r="M11" s="143" t="str">
        <f>References!$A$2</f>
        <v>dmg</v>
      </c>
      <c r="N11" s="183">
        <v>3</v>
      </c>
      <c r="O11" s="172"/>
    </row>
    <row r="16" spans="2:15" ht="15.75" thickBot="1" x14ac:dyDescent="0.3"/>
    <row r="17" spans="2:26" ht="15.75" x14ac:dyDescent="0.25">
      <c r="B17" s="224" t="str">
        <f>References!$F$2</f>
        <v>Name</v>
      </c>
      <c r="C17" s="225"/>
      <c r="D17" s="222" t="s">
        <v>152</v>
      </c>
      <c r="E17" s="223"/>
      <c r="G17" s="224" t="str">
        <f>References!$F$2</f>
        <v>Name</v>
      </c>
      <c r="H17" s="225"/>
      <c r="I17" s="222" t="s">
        <v>151</v>
      </c>
      <c r="J17" s="223"/>
    </row>
    <row r="18" spans="2:26" ht="15.75" x14ac:dyDescent="0.25">
      <c r="B18" s="212" t="str">
        <f>References!$F$3</f>
        <v>Class</v>
      </c>
      <c r="C18" s="213"/>
      <c r="D18" s="218" t="str">
        <f>References!$D$4</f>
        <v>Sorcerer</v>
      </c>
      <c r="E18" s="219"/>
      <c r="G18" s="212" t="str">
        <f>References!$F$3</f>
        <v>Class</v>
      </c>
      <c r="H18" s="213"/>
      <c r="I18" s="218" t="str">
        <f>References!$D$4</f>
        <v>Sorcerer</v>
      </c>
      <c r="J18" s="219"/>
    </row>
    <row r="19" spans="2:26" ht="15.75" x14ac:dyDescent="0.25">
      <c r="B19" s="212" t="str">
        <f>References!$F$4</f>
        <v>Type</v>
      </c>
      <c r="C19" s="213"/>
      <c r="D19" s="218" t="str">
        <f>References!$B$2</f>
        <v>Offensive</v>
      </c>
      <c r="E19" s="219"/>
      <c r="G19" s="212" t="str">
        <f>References!$F$4</f>
        <v>Type</v>
      </c>
      <c r="H19" s="213"/>
      <c r="I19" s="218" t="str">
        <f>References!$B$3</f>
        <v>Defensive</v>
      </c>
      <c r="J19" s="219"/>
    </row>
    <row r="20" spans="2:26" ht="15.75" x14ac:dyDescent="0.25">
      <c r="B20" s="212" t="str">
        <f>References!$F$5</f>
        <v>Nb. Targets</v>
      </c>
      <c r="C20" s="213"/>
      <c r="D20" s="218">
        <v>1</v>
      </c>
      <c r="E20" s="219"/>
      <c r="G20" s="212" t="str">
        <f>References!$F$5</f>
        <v>Nb. Targets</v>
      </c>
      <c r="H20" s="213"/>
      <c r="I20" s="218">
        <v>1</v>
      </c>
      <c r="J20" s="219"/>
    </row>
    <row r="21" spans="2:26" ht="16.5" thickBot="1" x14ac:dyDescent="0.3">
      <c r="B21" s="214" t="str">
        <f>References!$F$6</f>
        <v>Energy cost</v>
      </c>
      <c r="C21" s="215"/>
      <c r="D21" s="216">
        <v>2</v>
      </c>
      <c r="E21" s="217"/>
      <c r="G21" s="214" t="str">
        <f>References!$F$6</f>
        <v>Energy cost</v>
      </c>
      <c r="H21" s="215"/>
      <c r="I21" s="216">
        <v>1</v>
      </c>
      <c r="J21" s="217"/>
    </row>
    <row r="22" spans="2:26" ht="15.75" x14ac:dyDescent="0.25">
      <c r="B22" s="212" t="s">
        <v>111</v>
      </c>
      <c r="C22" s="213"/>
      <c r="D22" s="210">
        <v>1</v>
      </c>
      <c r="E22" s="211"/>
      <c r="G22" s="212" t="s">
        <v>111</v>
      </c>
      <c r="H22" s="213"/>
      <c r="I22" s="210">
        <v>1</v>
      </c>
      <c r="J22" s="211"/>
    </row>
    <row r="23" spans="2:26" ht="16.5" thickBot="1" x14ac:dyDescent="0.3">
      <c r="B23" s="214" t="s">
        <v>110</v>
      </c>
      <c r="C23" s="215"/>
      <c r="D23" s="208">
        <v>0.66700000000000004</v>
      </c>
      <c r="E23" s="230"/>
      <c r="G23" s="214" t="s">
        <v>110</v>
      </c>
      <c r="H23" s="215"/>
      <c r="I23" s="235">
        <f>0+1/6</f>
        <v>0.16666666666666666</v>
      </c>
      <c r="J23" s="236"/>
    </row>
    <row r="24" spans="2:26" ht="16.5" thickBot="1" x14ac:dyDescent="0.3">
      <c r="B24" s="133" t="str">
        <f>References!$G$2</f>
        <v>Type</v>
      </c>
      <c r="C24" s="135" t="str">
        <f>References!$G$3</f>
        <v>Stat</v>
      </c>
      <c r="D24" s="146" t="str">
        <f>References!$G$7</f>
        <v>Nb</v>
      </c>
      <c r="E24" s="147" t="str">
        <f>References!$G$8</f>
        <v>Turns</v>
      </c>
      <c r="G24" s="133" t="str">
        <f>References!$G$2</f>
        <v>Type</v>
      </c>
      <c r="H24" s="135" t="str">
        <f>References!$G$3</f>
        <v>Stat</v>
      </c>
      <c r="I24" s="146" t="str">
        <f>References!$G$7</f>
        <v>Nb</v>
      </c>
      <c r="J24" s="147" t="str">
        <f>References!$G$8</f>
        <v>Turns</v>
      </c>
    </row>
    <row r="25" spans="2:26" ht="16.5" thickBot="1" x14ac:dyDescent="0.3">
      <c r="B25" s="127" t="str">
        <f>References!$C$2</f>
        <v>Direct</v>
      </c>
      <c r="C25" s="143" t="str">
        <f>References!$A$2</f>
        <v>dmg</v>
      </c>
      <c r="D25" s="144">
        <v>3</v>
      </c>
      <c r="E25" s="145"/>
      <c r="G25" s="201" t="str">
        <f>References!$C$2</f>
        <v>Direct</v>
      </c>
      <c r="H25" s="202" t="str">
        <f>References!$A$3</f>
        <v>hp</v>
      </c>
      <c r="I25" s="199">
        <v>3</v>
      </c>
      <c r="J25" s="203"/>
    </row>
    <row r="26" spans="2:26" ht="15.75" x14ac:dyDescent="0.25">
      <c r="G26" s="13"/>
      <c r="H26" s="13"/>
      <c r="I26" s="156"/>
      <c r="J26" s="156"/>
    </row>
    <row r="29" spans="2:26" ht="15.75" thickBot="1" x14ac:dyDescent="0.3"/>
    <row r="30" spans="2:26" ht="15.75" x14ac:dyDescent="0.25">
      <c r="C30" s="224" t="str">
        <f>References!$F$2</f>
        <v>Name</v>
      </c>
      <c r="D30" s="225"/>
      <c r="E30" s="222" t="s">
        <v>153</v>
      </c>
      <c r="F30" s="223"/>
      <c r="M30" s="224" t="str">
        <f>References!$F$2</f>
        <v>Name</v>
      </c>
      <c r="N30" s="225"/>
      <c r="O30" s="222" t="s">
        <v>158</v>
      </c>
      <c r="P30" s="223"/>
      <c r="W30" s="224" t="str">
        <f>References!$F$2</f>
        <v>Name</v>
      </c>
      <c r="X30" s="225"/>
      <c r="Y30" s="222" t="s">
        <v>161</v>
      </c>
      <c r="Z30" s="223"/>
    </row>
    <row r="31" spans="2:26" ht="15.75" x14ac:dyDescent="0.25">
      <c r="C31" s="212" t="str">
        <f>References!$F$3</f>
        <v>Class</v>
      </c>
      <c r="D31" s="213"/>
      <c r="E31" s="218" t="str">
        <f>References!$E$9</f>
        <v>Wizard</v>
      </c>
      <c r="F31" s="219"/>
      <c r="M31" s="212" t="str">
        <f>References!$F$3</f>
        <v>Class</v>
      </c>
      <c r="N31" s="213"/>
      <c r="O31" s="218" t="str">
        <f>References!$E$8</f>
        <v>Necromancer</v>
      </c>
      <c r="P31" s="219"/>
      <c r="W31" s="212" t="str">
        <f>References!$F$3</f>
        <v>Class</v>
      </c>
      <c r="X31" s="213"/>
      <c r="Y31" s="218" t="str">
        <f>References!$E$11</f>
        <v>Shaman</v>
      </c>
      <c r="Z31" s="219"/>
    </row>
    <row r="32" spans="2:26" ht="15.75" x14ac:dyDescent="0.25">
      <c r="C32" s="212" t="str">
        <f>References!$F$4</f>
        <v>Type</v>
      </c>
      <c r="D32" s="213"/>
      <c r="E32" s="218" t="str">
        <f>References!$B$2</f>
        <v>Offensive</v>
      </c>
      <c r="F32" s="219"/>
      <c r="M32" s="212" t="str">
        <f>References!$F$4</f>
        <v>Type</v>
      </c>
      <c r="N32" s="213"/>
      <c r="O32" s="218" t="str">
        <f>References!$B$3</f>
        <v>Defensive</v>
      </c>
      <c r="P32" s="219"/>
      <c r="W32" s="212" t="str">
        <f>References!$F$4</f>
        <v>Type</v>
      </c>
      <c r="X32" s="213"/>
      <c r="Y32" s="218" t="str">
        <f>References!$B$3</f>
        <v>Defensive</v>
      </c>
      <c r="Z32" s="219"/>
    </row>
    <row r="33" spans="1:29" ht="15.75" x14ac:dyDescent="0.25">
      <c r="C33" s="212" t="str">
        <f>References!$F$5</f>
        <v>Nb. Targets</v>
      </c>
      <c r="D33" s="213"/>
      <c r="E33" s="218">
        <v>3</v>
      </c>
      <c r="F33" s="219"/>
      <c r="M33" s="212" t="str">
        <f>References!$F$5</f>
        <v>Nb. Targets</v>
      </c>
      <c r="N33" s="213"/>
      <c r="O33" s="229"/>
      <c r="P33" s="234"/>
      <c r="W33" s="212" t="str">
        <f>References!$F$5</f>
        <v>Nb. Targets</v>
      </c>
      <c r="X33" s="213"/>
      <c r="Y33" s="218">
        <v>1</v>
      </c>
      <c r="Z33" s="219"/>
    </row>
    <row r="34" spans="1:29" ht="16.5" thickBot="1" x14ac:dyDescent="0.3">
      <c r="C34" s="214" t="str">
        <f>References!$F$6</f>
        <v>Energy cost</v>
      </c>
      <c r="D34" s="215"/>
      <c r="E34" s="216">
        <v>3</v>
      </c>
      <c r="F34" s="217"/>
      <c r="M34" s="214" t="str">
        <f>References!$F$6</f>
        <v>Energy cost</v>
      </c>
      <c r="N34" s="215"/>
      <c r="O34" s="216">
        <v>2</v>
      </c>
      <c r="P34" s="217"/>
      <c r="W34" s="214" t="str">
        <f>References!$F$6</f>
        <v>Energy cost</v>
      </c>
      <c r="X34" s="215"/>
      <c r="Y34" s="216">
        <v>2</v>
      </c>
      <c r="Z34" s="217"/>
    </row>
    <row r="35" spans="1:29" ht="15.75" x14ac:dyDescent="0.25">
      <c r="C35" s="212" t="s">
        <v>111</v>
      </c>
      <c r="D35" s="213"/>
      <c r="E35" s="210">
        <v>1</v>
      </c>
      <c r="F35" s="211"/>
      <c r="M35" s="212" t="s">
        <v>111</v>
      </c>
      <c r="N35" s="213"/>
      <c r="O35" s="210">
        <v>1</v>
      </c>
      <c r="P35" s="211"/>
      <c r="W35" s="212" t="s">
        <v>111</v>
      </c>
      <c r="X35" s="213"/>
      <c r="Y35" s="210">
        <v>1</v>
      </c>
      <c r="Z35" s="211"/>
    </row>
    <row r="36" spans="1:29" ht="16.5" thickBot="1" x14ac:dyDescent="0.3">
      <c r="C36" s="214" t="s">
        <v>110</v>
      </c>
      <c r="D36" s="215"/>
      <c r="E36" s="208">
        <v>0.5</v>
      </c>
      <c r="F36" s="230"/>
      <c r="M36" s="214" t="s">
        <v>110</v>
      </c>
      <c r="N36" s="215"/>
      <c r="O36" s="208">
        <v>0</v>
      </c>
      <c r="P36" s="230"/>
      <c r="W36" s="214" t="s">
        <v>110</v>
      </c>
      <c r="X36" s="215"/>
      <c r="Y36" s="208">
        <v>0.5</v>
      </c>
      <c r="Z36" s="230"/>
    </row>
    <row r="37" spans="1:29" ht="16.5" thickBot="1" x14ac:dyDescent="0.3">
      <c r="C37" s="133" t="str">
        <f>References!$G$2</f>
        <v>Type</v>
      </c>
      <c r="D37" s="135" t="str">
        <f>References!$G$3</f>
        <v>Stat</v>
      </c>
      <c r="E37" s="146" t="str">
        <f>References!$G$7</f>
        <v>Nb</v>
      </c>
      <c r="F37" s="147" t="str">
        <f>References!$G$8</f>
        <v>Turns</v>
      </c>
      <c r="M37" s="133" t="str">
        <f>References!$G$2</f>
        <v>Type</v>
      </c>
      <c r="N37" s="135" t="str">
        <f>References!$G$3</f>
        <v>Stat</v>
      </c>
      <c r="O37" s="146" t="str">
        <f>References!$G$7</f>
        <v>Nb</v>
      </c>
      <c r="P37" s="147" t="str">
        <f>References!$G$8</f>
        <v>Turns</v>
      </c>
      <c r="W37" s="133" t="str">
        <f>References!$G$2</f>
        <v>Type</v>
      </c>
      <c r="X37" s="135" t="str">
        <f>References!$G$3</f>
        <v>Stat</v>
      </c>
      <c r="Y37" s="146" t="str">
        <f>References!$G$7</f>
        <v>Nb</v>
      </c>
      <c r="Z37" s="147" t="str">
        <f>References!$G$8</f>
        <v>Turns</v>
      </c>
    </row>
    <row r="38" spans="1:29" ht="16.5" thickBot="1" x14ac:dyDescent="0.3">
      <c r="C38" s="201" t="str">
        <f>References!$C$2</f>
        <v>Direct</v>
      </c>
      <c r="D38" s="202" t="str">
        <f>References!$A$2</f>
        <v>dmg</v>
      </c>
      <c r="E38" s="199">
        <v>4</v>
      </c>
      <c r="F38" s="203"/>
      <c r="M38" s="170"/>
      <c r="N38" s="145"/>
      <c r="O38" s="170"/>
      <c r="P38" s="145"/>
      <c r="W38" s="127" t="str">
        <f>References!$C$2</f>
        <v>Direct</v>
      </c>
      <c r="X38" s="143" t="str">
        <f>References!$A$3</f>
        <v>hp</v>
      </c>
      <c r="Y38" s="144">
        <v>2</v>
      </c>
      <c r="Z38" s="145"/>
    </row>
    <row r="39" spans="1:29" ht="16.5" thickBot="1" x14ac:dyDescent="0.3">
      <c r="C39" s="13"/>
      <c r="D39" s="13"/>
      <c r="E39" s="156"/>
      <c r="F39" s="156"/>
      <c r="M39" s="13"/>
      <c r="N39" s="13"/>
      <c r="O39" s="156"/>
      <c r="P39" s="156"/>
      <c r="W39" s="129" t="str">
        <f>References!$C$3</f>
        <v>Temp</v>
      </c>
      <c r="X39" s="143" t="str">
        <f>References!$A$3</f>
        <v>hp</v>
      </c>
      <c r="Y39" s="141">
        <v>2</v>
      </c>
      <c r="Z39" s="142">
        <v>1</v>
      </c>
    </row>
    <row r="40" spans="1:29" ht="15.75" x14ac:dyDescent="0.25">
      <c r="C40" s="13"/>
      <c r="D40" s="13"/>
      <c r="E40" s="156"/>
      <c r="F40" s="156"/>
    </row>
    <row r="44" spans="1:29" ht="15.75" thickBot="1" x14ac:dyDescent="0.3"/>
    <row r="45" spans="1:29" ht="15.75" x14ac:dyDescent="0.25">
      <c r="A45" s="224" t="str">
        <f>References!$F$2</f>
        <v>Name</v>
      </c>
      <c r="B45" s="225"/>
      <c r="C45" s="222" t="s">
        <v>155</v>
      </c>
      <c r="D45" s="223"/>
      <c r="F45" s="224" t="str">
        <f>References!$F$2</f>
        <v>Name</v>
      </c>
      <c r="G45" s="225"/>
      <c r="H45" s="222" t="s">
        <v>154</v>
      </c>
      <c r="I45" s="223"/>
      <c r="K45" s="224" t="str">
        <f>References!$F$2</f>
        <v>Name</v>
      </c>
      <c r="L45" s="225"/>
      <c r="M45" s="222" t="s">
        <v>156</v>
      </c>
      <c r="N45" s="223"/>
      <c r="P45" s="224" t="str">
        <f>References!$F$2</f>
        <v>Name</v>
      </c>
      <c r="Q45" s="225"/>
      <c r="R45" s="222" t="s">
        <v>157</v>
      </c>
      <c r="S45" s="223"/>
      <c r="U45" s="224" t="str">
        <f>References!$F$2</f>
        <v>Name</v>
      </c>
      <c r="V45" s="225"/>
      <c r="W45" s="222" t="s">
        <v>162</v>
      </c>
      <c r="X45" s="223"/>
      <c r="Z45" s="224" t="str">
        <f>References!$F$2</f>
        <v>Name</v>
      </c>
      <c r="AA45" s="225"/>
      <c r="AB45" s="222" t="s">
        <v>160</v>
      </c>
      <c r="AC45" s="223"/>
    </row>
    <row r="46" spans="1:29" ht="15.75" x14ac:dyDescent="0.25">
      <c r="A46" s="212" t="str">
        <f>References!$F$3</f>
        <v>Class</v>
      </c>
      <c r="B46" s="213"/>
      <c r="C46" s="218" t="str">
        <f>References!$E$9</f>
        <v>Wizard</v>
      </c>
      <c r="D46" s="219"/>
      <c r="F46" s="212" t="str">
        <f>References!$F$3</f>
        <v>Class</v>
      </c>
      <c r="G46" s="213"/>
      <c r="H46" s="218" t="str">
        <f>References!$E$9</f>
        <v>Wizard</v>
      </c>
      <c r="I46" s="219"/>
      <c r="K46" s="212" t="str">
        <f>References!$F$3</f>
        <v>Class</v>
      </c>
      <c r="L46" s="213"/>
      <c r="M46" s="218" t="str">
        <f>References!$E$8</f>
        <v>Necromancer</v>
      </c>
      <c r="N46" s="219"/>
      <c r="P46" s="212" t="str">
        <f>References!$F$3</f>
        <v>Class</v>
      </c>
      <c r="Q46" s="213"/>
      <c r="R46" s="218" t="str">
        <f>References!$E$8</f>
        <v>Necromancer</v>
      </c>
      <c r="S46" s="219"/>
      <c r="U46" s="212" t="str">
        <f>References!$F$3</f>
        <v>Class</v>
      </c>
      <c r="V46" s="213"/>
      <c r="W46" s="218" t="str">
        <f>References!$E$11</f>
        <v>Shaman</v>
      </c>
      <c r="X46" s="219"/>
      <c r="Z46" s="212" t="str">
        <f>References!$F$3</f>
        <v>Class</v>
      </c>
      <c r="AA46" s="213"/>
      <c r="AB46" s="218" t="str">
        <f>References!$E$11</f>
        <v>Shaman</v>
      </c>
      <c r="AC46" s="219"/>
    </row>
    <row r="47" spans="1:29" ht="15.75" x14ac:dyDescent="0.25">
      <c r="A47" s="212" t="str">
        <f>References!$F$4</f>
        <v>Type</v>
      </c>
      <c r="B47" s="213"/>
      <c r="C47" s="218" t="str">
        <f>References!$B$2</f>
        <v>Offensive</v>
      </c>
      <c r="D47" s="219"/>
      <c r="F47" s="212" t="str">
        <f>References!$F$4</f>
        <v>Type</v>
      </c>
      <c r="G47" s="213"/>
      <c r="H47" s="218" t="str">
        <f>References!$B$2</f>
        <v>Offensive</v>
      </c>
      <c r="I47" s="219"/>
      <c r="K47" s="212" t="str">
        <f>References!$F$4</f>
        <v>Type</v>
      </c>
      <c r="L47" s="213"/>
      <c r="M47" s="218" t="str">
        <f>References!$B$3</f>
        <v>Defensive</v>
      </c>
      <c r="N47" s="219"/>
      <c r="P47" s="212" t="str">
        <f>References!$F$4</f>
        <v>Type</v>
      </c>
      <c r="Q47" s="213"/>
      <c r="R47" s="218" t="str">
        <f>References!$B$2</f>
        <v>Offensive</v>
      </c>
      <c r="S47" s="219"/>
      <c r="U47" s="212" t="str">
        <f>References!$F$4</f>
        <v>Type</v>
      </c>
      <c r="V47" s="213"/>
      <c r="W47" s="218" t="str">
        <f>References!$B$2</f>
        <v>Offensive</v>
      </c>
      <c r="X47" s="219"/>
      <c r="Z47" s="212" t="str">
        <f>References!$F$4</f>
        <v>Type</v>
      </c>
      <c r="AA47" s="213"/>
      <c r="AB47" s="218" t="str">
        <f>References!$B$3</f>
        <v>Defensive</v>
      </c>
      <c r="AC47" s="219"/>
    </row>
    <row r="48" spans="1:29" ht="15.75" x14ac:dyDescent="0.25">
      <c r="A48" s="212" t="str">
        <f>References!$F$5</f>
        <v>Nb. Targets</v>
      </c>
      <c r="B48" s="213"/>
      <c r="C48" s="218">
        <v>1</v>
      </c>
      <c r="D48" s="219"/>
      <c r="F48" s="212" t="str">
        <f>References!$F$5</f>
        <v>Nb. Targets</v>
      </c>
      <c r="G48" s="213"/>
      <c r="H48" s="218">
        <v>1</v>
      </c>
      <c r="I48" s="219"/>
      <c r="K48" s="212" t="str">
        <f>References!$F$5</f>
        <v>Nb. Targets</v>
      </c>
      <c r="L48" s="213"/>
      <c r="M48" s="218">
        <v>3</v>
      </c>
      <c r="N48" s="219"/>
      <c r="P48" s="212" t="str">
        <f>References!$F$5</f>
        <v>Nb. Targets</v>
      </c>
      <c r="Q48" s="213"/>
      <c r="R48" s="218">
        <v>3</v>
      </c>
      <c r="S48" s="219"/>
      <c r="U48" s="212" t="str">
        <f>References!$F$5</f>
        <v>Nb. Targets</v>
      </c>
      <c r="V48" s="213"/>
      <c r="W48" s="218">
        <v>3</v>
      </c>
      <c r="X48" s="219"/>
      <c r="Z48" s="212" t="str">
        <f>References!$F$5</f>
        <v>Nb. Targets</v>
      </c>
      <c r="AA48" s="213"/>
      <c r="AB48" s="218">
        <v>1</v>
      </c>
      <c r="AC48" s="219"/>
    </row>
    <row r="49" spans="1:29" ht="16.5" thickBot="1" x14ac:dyDescent="0.3">
      <c r="A49" s="214" t="str">
        <f>References!$F$6</f>
        <v>Energy cost</v>
      </c>
      <c r="B49" s="215"/>
      <c r="C49" s="216">
        <v>2</v>
      </c>
      <c r="D49" s="217"/>
      <c r="F49" s="214" t="str">
        <f>References!$F$6</f>
        <v>Energy cost</v>
      </c>
      <c r="G49" s="215"/>
      <c r="H49" s="216">
        <v>3</v>
      </c>
      <c r="I49" s="217"/>
      <c r="K49" s="214" t="str">
        <f>References!$F$6</f>
        <v>Energy cost</v>
      </c>
      <c r="L49" s="215"/>
      <c r="M49" s="216">
        <v>2</v>
      </c>
      <c r="N49" s="217"/>
      <c r="P49" s="214" t="str">
        <f>References!$F$6</f>
        <v>Energy cost</v>
      </c>
      <c r="Q49" s="215"/>
      <c r="R49" s="216">
        <v>3</v>
      </c>
      <c r="S49" s="217"/>
      <c r="U49" s="214" t="str">
        <f>References!$F$6</f>
        <v>Energy cost</v>
      </c>
      <c r="V49" s="215"/>
      <c r="W49" s="216">
        <v>3</v>
      </c>
      <c r="X49" s="217"/>
      <c r="Z49" s="214" t="str">
        <f>References!$F$6</f>
        <v>Energy cost</v>
      </c>
      <c r="AA49" s="215"/>
      <c r="AB49" s="216">
        <v>2</v>
      </c>
      <c r="AC49" s="217"/>
    </row>
    <row r="50" spans="1:29" ht="15.75" x14ac:dyDescent="0.25">
      <c r="A50" s="212" t="s">
        <v>111</v>
      </c>
      <c r="B50" s="213"/>
      <c r="C50" s="210">
        <v>2</v>
      </c>
      <c r="D50" s="211"/>
      <c r="F50" s="212" t="s">
        <v>111</v>
      </c>
      <c r="G50" s="213"/>
      <c r="H50" s="210">
        <v>1</v>
      </c>
      <c r="I50" s="211"/>
      <c r="K50" s="212" t="s">
        <v>111</v>
      </c>
      <c r="L50" s="213"/>
      <c r="M50" s="210">
        <v>1</v>
      </c>
      <c r="N50" s="211"/>
      <c r="P50" s="212" t="s">
        <v>111</v>
      </c>
      <c r="Q50" s="213"/>
      <c r="R50" s="210">
        <v>1</v>
      </c>
      <c r="S50" s="211"/>
      <c r="U50" s="212" t="s">
        <v>111</v>
      </c>
      <c r="V50" s="213"/>
      <c r="W50" s="210">
        <v>2</v>
      </c>
      <c r="X50" s="211"/>
      <c r="Z50" s="212" t="s">
        <v>111</v>
      </c>
      <c r="AA50" s="213"/>
      <c r="AB50" s="210">
        <v>2</v>
      </c>
      <c r="AC50" s="211"/>
    </row>
    <row r="51" spans="1:29" ht="16.5" thickBot="1" x14ac:dyDescent="0.3">
      <c r="A51" s="214" t="s">
        <v>110</v>
      </c>
      <c r="B51" s="215"/>
      <c r="C51" s="208">
        <v>0.5</v>
      </c>
      <c r="D51" s="230"/>
      <c r="F51" s="214" t="s">
        <v>110</v>
      </c>
      <c r="G51" s="215"/>
      <c r="H51" s="208">
        <v>0.33</v>
      </c>
      <c r="I51" s="230"/>
      <c r="K51" s="214" t="s">
        <v>110</v>
      </c>
      <c r="L51" s="215"/>
      <c r="M51" s="208">
        <v>0.33</v>
      </c>
      <c r="N51" s="230"/>
      <c r="P51" s="214" t="s">
        <v>110</v>
      </c>
      <c r="Q51" s="215"/>
      <c r="R51" s="208">
        <v>0.33</v>
      </c>
      <c r="S51" s="230"/>
      <c r="U51" s="214" t="s">
        <v>110</v>
      </c>
      <c r="V51" s="215"/>
      <c r="W51" s="208">
        <v>0.33</v>
      </c>
      <c r="X51" s="230"/>
      <c r="Z51" s="214" t="s">
        <v>110</v>
      </c>
      <c r="AA51" s="215"/>
      <c r="AB51" s="208">
        <v>0</v>
      </c>
      <c r="AC51" s="230"/>
    </row>
    <row r="52" spans="1:29" ht="16.5" thickBot="1" x14ac:dyDescent="0.3">
      <c r="A52" s="133" t="str">
        <f>References!$G$2</f>
        <v>Type</v>
      </c>
      <c r="B52" s="135" t="str">
        <f>References!$G$3</f>
        <v>Stat</v>
      </c>
      <c r="C52" s="146" t="str">
        <f>References!$G$7</f>
        <v>Nb</v>
      </c>
      <c r="D52" s="147" t="str">
        <f>References!$G$8</f>
        <v>Turns</v>
      </c>
      <c r="F52" s="133" t="str">
        <f>References!$G$2</f>
        <v>Type</v>
      </c>
      <c r="G52" s="135" t="str">
        <f>References!$G$3</f>
        <v>Stat</v>
      </c>
      <c r="H52" s="146" t="str">
        <f>References!$G$7</f>
        <v>Nb</v>
      </c>
      <c r="I52" s="147" t="str">
        <f>References!$G$8</f>
        <v>Turns</v>
      </c>
      <c r="K52" s="133" t="str">
        <f>References!$G$2</f>
        <v>Type</v>
      </c>
      <c r="L52" s="135" t="str">
        <f>References!$G$3</f>
        <v>Stat</v>
      </c>
      <c r="M52" s="146" t="str">
        <f>References!$G$7</f>
        <v>Nb</v>
      </c>
      <c r="N52" s="147" t="str">
        <f>References!$G$8</f>
        <v>Turns</v>
      </c>
      <c r="P52" s="133" t="str">
        <f>References!$G$2</f>
        <v>Type</v>
      </c>
      <c r="Q52" s="135" t="str">
        <f>References!$G$3</f>
        <v>Stat</v>
      </c>
      <c r="R52" s="146" t="str">
        <f>References!$G$7</f>
        <v>Nb</v>
      </c>
      <c r="S52" s="147" t="str">
        <f>References!$G$8</f>
        <v>Turns</v>
      </c>
      <c r="U52" s="133" t="str">
        <f>References!$G$2</f>
        <v>Type</v>
      </c>
      <c r="V52" s="135" t="str">
        <f>References!$G$3</f>
        <v>Stat</v>
      </c>
      <c r="W52" s="146" t="str">
        <f>References!$G$7</f>
        <v>Nb</v>
      </c>
      <c r="X52" s="147" t="str">
        <f>References!$G$8</f>
        <v>Turns</v>
      </c>
      <c r="Z52" s="133" t="str">
        <f>References!$G$2</f>
        <v>Type</v>
      </c>
      <c r="AA52" s="135" t="str">
        <f>References!$G$3</f>
        <v>Stat</v>
      </c>
      <c r="AB52" s="146" t="str">
        <f>References!$G$7</f>
        <v>Nb</v>
      </c>
      <c r="AC52" s="147" t="str">
        <f>References!$G$8</f>
        <v>Turns</v>
      </c>
    </row>
    <row r="53" spans="1:29" ht="16.5" thickBot="1" x14ac:dyDescent="0.3">
      <c r="A53" s="129" t="str">
        <f>References!$C$2</f>
        <v>Direct</v>
      </c>
      <c r="B53" s="139" t="str">
        <f>References!$A$2</f>
        <v>dmg</v>
      </c>
      <c r="C53" s="141">
        <v>4</v>
      </c>
      <c r="D53" s="175"/>
      <c r="F53" s="197" t="str">
        <f>References!$C$2</f>
        <v>Direct</v>
      </c>
      <c r="G53" s="202" t="str">
        <f>References!$A$2</f>
        <v>dmg</v>
      </c>
      <c r="H53" s="204">
        <v>9</v>
      </c>
      <c r="I53" s="205"/>
      <c r="K53" s="129" t="str">
        <f>References!$C$2</f>
        <v>Direct</v>
      </c>
      <c r="L53" s="139" t="str">
        <f>References!$A$5</f>
        <v>def</v>
      </c>
      <c r="M53" s="144">
        <v>2</v>
      </c>
      <c r="N53" s="145"/>
      <c r="P53" s="197" t="str">
        <f>References!$C$2</f>
        <v>Direct</v>
      </c>
      <c r="Q53" s="198" t="str">
        <f>References!$A$2</f>
        <v>dmg</v>
      </c>
      <c r="R53" s="199">
        <v>6</v>
      </c>
      <c r="S53" s="203"/>
      <c r="U53" s="127" t="str">
        <f>References!$C$2</f>
        <v>Direct</v>
      </c>
      <c r="V53" s="143" t="str">
        <f>References!$A$2</f>
        <v>dmg</v>
      </c>
      <c r="W53" s="144">
        <v>3</v>
      </c>
      <c r="X53" s="145"/>
      <c r="Z53" s="127" t="str">
        <f>References!$C$2</f>
        <v>Direct</v>
      </c>
      <c r="AA53" s="143" t="str">
        <f>References!$A$3</f>
        <v>hp</v>
      </c>
      <c r="AB53" s="144">
        <v>3</v>
      </c>
      <c r="AC53" s="145"/>
    </row>
    <row r="54" spans="1:29" ht="16.5" thickBot="1" x14ac:dyDescent="0.3">
      <c r="A54" s="129" t="str">
        <f>References!$C$3</f>
        <v>Temp</v>
      </c>
      <c r="B54" s="139" t="s">
        <v>128</v>
      </c>
      <c r="C54" s="144">
        <v>-2</v>
      </c>
      <c r="D54" s="142">
        <v>1</v>
      </c>
      <c r="F54" s="13"/>
      <c r="G54" s="13"/>
      <c r="H54" s="156"/>
      <c r="I54" s="156"/>
      <c r="K54" s="129" t="str">
        <f>References!$C$3</f>
        <v>Temp</v>
      </c>
      <c r="L54" s="139" t="str">
        <f>References!$A$5</f>
        <v>def</v>
      </c>
      <c r="M54" s="141">
        <v>2</v>
      </c>
      <c r="N54" s="142">
        <v>1</v>
      </c>
      <c r="P54" s="13"/>
      <c r="Q54" s="13"/>
      <c r="R54" s="156"/>
      <c r="S54" s="156"/>
      <c r="U54" s="127" t="s">
        <v>11</v>
      </c>
      <c r="V54" s="143" t="s">
        <v>46</v>
      </c>
      <c r="W54" s="141">
        <v>2</v>
      </c>
      <c r="X54" s="142">
        <v>1</v>
      </c>
      <c r="Z54" s="127" t="str">
        <f>References!$C$2</f>
        <v>Direct</v>
      </c>
      <c r="AA54" s="143" t="str">
        <f>References!$A$4</f>
        <v>enrg</v>
      </c>
      <c r="AB54" s="141">
        <v>2</v>
      </c>
      <c r="AC54" s="145"/>
    </row>
    <row r="55" spans="1:29" ht="15.75" x14ac:dyDescent="0.25">
      <c r="F55" s="13"/>
      <c r="G55" s="13"/>
      <c r="H55" s="156"/>
      <c r="I55" s="156"/>
      <c r="Z55" s="13"/>
      <c r="AA55" s="13"/>
      <c r="AB55" s="156"/>
      <c r="AC55" s="156"/>
    </row>
    <row r="56" spans="1:29" ht="15.75" x14ac:dyDescent="0.25">
      <c r="F56" s="13"/>
      <c r="G56" s="13"/>
      <c r="H56" s="156"/>
      <c r="I56" s="156"/>
    </row>
  </sheetData>
  <mergeCells count="196">
    <mergeCell ref="B3:C3"/>
    <mergeCell ref="D3:E3"/>
    <mergeCell ref="G3:H3"/>
    <mergeCell ref="I3:J3"/>
    <mergeCell ref="L3:M3"/>
    <mergeCell ref="N3:O3"/>
    <mergeCell ref="B5:C5"/>
    <mergeCell ref="D5:E5"/>
    <mergeCell ref="G5:H5"/>
    <mergeCell ref="I5:J5"/>
    <mergeCell ref="L5:M5"/>
    <mergeCell ref="N5:O5"/>
    <mergeCell ref="B4:C4"/>
    <mergeCell ref="D4:E4"/>
    <mergeCell ref="G4:H4"/>
    <mergeCell ref="I4:J4"/>
    <mergeCell ref="L4:M4"/>
    <mergeCell ref="N4:O4"/>
    <mergeCell ref="B7:C7"/>
    <mergeCell ref="D7:E7"/>
    <mergeCell ref="G7:H7"/>
    <mergeCell ref="I7:J7"/>
    <mergeCell ref="L7:M7"/>
    <mergeCell ref="N7:O7"/>
    <mergeCell ref="B6:C6"/>
    <mergeCell ref="D6:E6"/>
    <mergeCell ref="G6:H6"/>
    <mergeCell ref="I6:J6"/>
    <mergeCell ref="L6:M6"/>
    <mergeCell ref="N6:O6"/>
    <mergeCell ref="B9:C9"/>
    <mergeCell ref="D9:E9"/>
    <mergeCell ref="G9:H9"/>
    <mergeCell ref="I9:J9"/>
    <mergeCell ref="L9:M9"/>
    <mergeCell ref="N9:O9"/>
    <mergeCell ref="B8:C8"/>
    <mergeCell ref="D8:E8"/>
    <mergeCell ref="G8:H8"/>
    <mergeCell ref="I8:J8"/>
    <mergeCell ref="L8:M8"/>
    <mergeCell ref="N8:O8"/>
    <mergeCell ref="B19:C19"/>
    <mergeCell ref="D19:E19"/>
    <mergeCell ref="G19:H19"/>
    <mergeCell ref="I19:J19"/>
    <mergeCell ref="B20:C20"/>
    <mergeCell ref="D20:E20"/>
    <mergeCell ref="G20:H20"/>
    <mergeCell ref="I20:J20"/>
    <mergeCell ref="B17:C17"/>
    <mergeCell ref="D17:E17"/>
    <mergeCell ref="G17:H17"/>
    <mergeCell ref="I17:J17"/>
    <mergeCell ref="B18:C18"/>
    <mergeCell ref="D18:E18"/>
    <mergeCell ref="G18:H18"/>
    <mergeCell ref="I18:J18"/>
    <mergeCell ref="B23:C23"/>
    <mergeCell ref="D23:E23"/>
    <mergeCell ref="G23:H23"/>
    <mergeCell ref="I23:J23"/>
    <mergeCell ref="C30:D30"/>
    <mergeCell ref="E30:F30"/>
    <mergeCell ref="B21:C21"/>
    <mergeCell ref="D21:E21"/>
    <mergeCell ref="G21:H21"/>
    <mergeCell ref="I21:J21"/>
    <mergeCell ref="B22:C22"/>
    <mergeCell ref="D22:E22"/>
    <mergeCell ref="G22:H22"/>
    <mergeCell ref="I22:J22"/>
    <mergeCell ref="C32:D32"/>
    <mergeCell ref="E32:F32"/>
    <mergeCell ref="M32:N32"/>
    <mergeCell ref="O32:P32"/>
    <mergeCell ref="W32:X32"/>
    <mergeCell ref="Y32:Z32"/>
    <mergeCell ref="M30:N30"/>
    <mergeCell ref="O30:P30"/>
    <mergeCell ref="W30:X30"/>
    <mergeCell ref="Y30:Z30"/>
    <mergeCell ref="C31:D31"/>
    <mergeCell ref="E31:F31"/>
    <mergeCell ref="M31:N31"/>
    <mergeCell ref="O31:P31"/>
    <mergeCell ref="W31:X31"/>
    <mergeCell ref="Y31:Z31"/>
    <mergeCell ref="C34:D34"/>
    <mergeCell ref="E34:F34"/>
    <mergeCell ref="M34:N34"/>
    <mergeCell ref="O34:P34"/>
    <mergeCell ref="W34:X34"/>
    <mergeCell ref="Y34:Z34"/>
    <mergeCell ref="C33:D33"/>
    <mergeCell ref="E33:F33"/>
    <mergeCell ref="M33:N33"/>
    <mergeCell ref="O33:P33"/>
    <mergeCell ref="W33:X33"/>
    <mergeCell ref="Y33:Z33"/>
    <mergeCell ref="C36:D36"/>
    <mergeCell ref="E36:F36"/>
    <mergeCell ref="M36:N36"/>
    <mergeCell ref="O36:P36"/>
    <mergeCell ref="W36:X36"/>
    <mergeCell ref="Y36:Z36"/>
    <mergeCell ref="C35:D35"/>
    <mergeCell ref="E35:F35"/>
    <mergeCell ref="M35:N35"/>
    <mergeCell ref="O35:P35"/>
    <mergeCell ref="W35:X35"/>
    <mergeCell ref="Y35:Z35"/>
    <mergeCell ref="P45:Q45"/>
    <mergeCell ref="R45:S45"/>
    <mergeCell ref="U45:V45"/>
    <mergeCell ref="W45:X45"/>
    <mergeCell ref="Z45:AA45"/>
    <mergeCell ref="AB45:AC45"/>
    <mergeCell ref="A45:B45"/>
    <mergeCell ref="C45:D45"/>
    <mergeCell ref="F45:G45"/>
    <mergeCell ref="H45:I45"/>
    <mergeCell ref="K45:L45"/>
    <mergeCell ref="M45:N45"/>
    <mergeCell ref="P46:Q46"/>
    <mergeCell ref="R46:S46"/>
    <mergeCell ref="U46:V46"/>
    <mergeCell ref="W46:X46"/>
    <mergeCell ref="Z46:AA46"/>
    <mergeCell ref="AB46:AC46"/>
    <mergeCell ref="A46:B46"/>
    <mergeCell ref="C46:D46"/>
    <mergeCell ref="F46:G46"/>
    <mergeCell ref="H46:I46"/>
    <mergeCell ref="K46:L46"/>
    <mergeCell ref="M46:N46"/>
    <mergeCell ref="P47:Q47"/>
    <mergeCell ref="R47:S47"/>
    <mergeCell ref="U47:V47"/>
    <mergeCell ref="W47:X47"/>
    <mergeCell ref="Z47:AA47"/>
    <mergeCell ref="AB47:AC47"/>
    <mergeCell ref="A47:B47"/>
    <mergeCell ref="C47:D47"/>
    <mergeCell ref="F47:G47"/>
    <mergeCell ref="H47:I47"/>
    <mergeCell ref="K47:L47"/>
    <mergeCell ref="M47:N47"/>
    <mergeCell ref="P48:Q48"/>
    <mergeCell ref="R48:S48"/>
    <mergeCell ref="U48:V48"/>
    <mergeCell ref="W48:X48"/>
    <mergeCell ref="Z48:AA48"/>
    <mergeCell ref="AB48:AC48"/>
    <mergeCell ref="A48:B48"/>
    <mergeCell ref="C48:D48"/>
    <mergeCell ref="F48:G48"/>
    <mergeCell ref="H48:I48"/>
    <mergeCell ref="K48:L48"/>
    <mergeCell ref="M48:N48"/>
    <mergeCell ref="P49:Q49"/>
    <mergeCell ref="R49:S49"/>
    <mergeCell ref="U49:V49"/>
    <mergeCell ref="W49:X49"/>
    <mergeCell ref="Z49:AA49"/>
    <mergeCell ref="AB49:AC49"/>
    <mergeCell ref="A49:B49"/>
    <mergeCell ref="C49:D49"/>
    <mergeCell ref="F49:G49"/>
    <mergeCell ref="H49:I49"/>
    <mergeCell ref="K49:L49"/>
    <mergeCell ref="M49:N49"/>
    <mergeCell ref="P50:Q50"/>
    <mergeCell ref="R50:S50"/>
    <mergeCell ref="U50:V50"/>
    <mergeCell ref="W50:X50"/>
    <mergeCell ref="Z50:AA50"/>
    <mergeCell ref="AB50:AC50"/>
    <mergeCell ref="A50:B50"/>
    <mergeCell ref="C50:D50"/>
    <mergeCell ref="F50:G50"/>
    <mergeCell ref="H50:I50"/>
    <mergeCell ref="K50:L50"/>
    <mergeCell ref="M50:N50"/>
    <mergeCell ref="P51:Q51"/>
    <mergeCell ref="R51:S51"/>
    <mergeCell ref="U51:V51"/>
    <mergeCell ref="W51:X51"/>
    <mergeCell ref="Z51:AA51"/>
    <mergeCell ref="AB51:AC51"/>
    <mergeCell ref="A51:B51"/>
    <mergeCell ref="C51:D51"/>
    <mergeCell ref="F51:G51"/>
    <mergeCell ref="H51:I51"/>
    <mergeCell ref="K51:L51"/>
    <mergeCell ref="M51:N51"/>
  </mergeCells>
  <pageMargins left="0" right="0" top="0" bottom="0" header="0" footer="0"/>
  <pageSetup scale="5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4386A-640A-4B99-B6E4-83FE869B0B4D}">
  <sheetPr>
    <pageSetUpPr fitToPage="1"/>
  </sheetPr>
  <dimension ref="A3:AC56"/>
  <sheetViews>
    <sheetView topLeftCell="A25" workbookViewId="0">
      <selection activeCell="C30" sqref="C30:F39"/>
    </sheetView>
  </sheetViews>
  <sheetFormatPr defaultRowHeight="15" x14ac:dyDescent="0.25"/>
  <sheetData>
    <row r="3" spans="2:15" ht="15.75" x14ac:dyDescent="0.25">
      <c r="B3" s="213" t="str">
        <f>References!$F$2</f>
        <v>Name</v>
      </c>
      <c r="C3" s="213"/>
      <c r="D3" s="218" t="s">
        <v>4</v>
      </c>
      <c r="E3" s="218"/>
      <c r="G3" s="213" t="str">
        <f>References!$F$2</f>
        <v>Name</v>
      </c>
      <c r="H3" s="213"/>
      <c r="I3" s="218" t="s">
        <v>0</v>
      </c>
      <c r="J3" s="218"/>
      <c r="L3" s="213" t="str">
        <f>References!$F$2</f>
        <v>Name</v>
      </c>
      <c r="M3" s="213"/>
      <c r="N3" s="218" t="s">
        <v>3</v>
      </c>
      <c r="O3" s="218"/>
    </row>
    <row r="4" spans="2:15" ht="15.75" x14ac:dyDescent="0.25">
      <c r="B4" s="213" t="str">
        <f>References!$F$3</f>
        <v>Class</v>
      </c>
      <c r="C4" s="213"/>
      <c r="D4" s="218" t="str">
        <f>References!$E$2</f>
        <v>Creature</v>
      </c>
      <c r="E4" s="218"/>
      <c r="G4" s="213" t="str">
        <f>References!$F$3</f>
        <v>Class</v>
      </c>
      <c r="H4" s="213"/>
      <c r="I4" s="218" t="str">
        <f>References!$E$2</f>
        <v>Creature</v>
      </c>
      <c r="J4" s="218"/>
      <c r="L4" s="213" t="str">
        <f>References!$F$3</f>
        <v>Class</v>
      </c>
      <c r="M4" s="213"/>
      <c r="N4" s="218" t="str">
        <f>References!$E$2</f>
        <v>Creature</v>
      </c>
      <c r="O4" s="218"/>
    </row>
    <row r="5" spans="2:15" ht="15.75" x14ac:dyDescent="0.25">
      <c r="B5" s="213" t="str">
        <f>References!$F$4</f>
        <v>Type</v>
      </c>
      <c r="C5" s="213"/>
      <c r="D5" s="229"/>
      <c r="E5" s="229"/>
      <c r="G5" s="213" t="str">
        <f>References!$F$4</f>
        <v>Type</v>
      </c>
      <c r="H5" s="213"/>
      <c r="I5" s="218" t="str">
        <f>References!$B$2</f>
        <v>Offensive</v>
      </c>
      <c r="J5" s="218"/>
      <c r="L5" s="213" t="str">
        <f>References!$F$4</f>
        <v>Type</v>
      </c>
      <c r="M5" s="213"/>
      <c r="N5" s="218" t="str">
        <f>References!$B$2</f>
        <v>Offensive</v>
      </c>
      <c r="O5" s="218"/>
    </row>
    <row r="6" spans="2:15" ht="15.75" x14ac:dyDescent="0.25">
      <c r="B6" s="213" t="str">
        <f>References!$F$5</f>
        <v>Nb. Targets</v>
      </c>
      <c r="C6" s="213"/>
      <c r="D6" s="229"/>
      <c r="E6" s="229"/>
      <c r="G6" s="213" t="str">
        <f>References!$F$5</f>
        <v>Nb. Targets</v>
      </c>
      <c r="H6" s="213"/>
      <c r="I6" s="218">
        <v>1</v>
      </c>
      <c r="J6" s="218"/>
      <c r="L6" s="213" t="str">
        <f>References!$F$5</f>
        <v>Nb. Targets</v>
      </c>
      <c r="M6" s="213"/>
      <c r="N6" s="218">
        <v>1</v>
      </c>
      <c r="O6" s="218"/>
    </row>
    <row r="7" spans="2:15" ht="15.75" x14ac:dyDescent="0.25">
      <c r="B7" s="213" t="str">
        <f>References!$F$6</f>
        <v>Energy cost</v>
      </c>
      <c r="C7" s="213"/>
      <c r="D7" s="218">
        <v>0</v>
      </c>
      <c r="E7" s="218"/>
      <c r="G7" s="213" t="str">
        <f>References!$F$6</f>
        <v>Energy cost</v>
      </c>
      <c r="H7" s="213"/>
      <c r="I7" s="218">
        <v>1</v>
      </c>
      <c r="J7" s="218"/>
      <c r="L7" s="213" t="str">
        <f>References!$F$6</f>
        <v>Energy cost</v>
      </c>
      <c r="M7" s="213"/>
      <c r="N7" s="218">
        <v>2</v>
      </c>
      <c r="O7" s="218"/>
    </row>
    <row r="8" spans="2:15" ht="15.75" x14ac:dyDescent="0.25">
      <c r="B8" s="213" t="s">
        <v>111</v>
      </c>
      <c r="C8" s="213"/>
      <c r="D8" s="210">
        <v>1</v>
      </c>
      <c r="E8" s="210"/>
      <c r="G8" s="213" t="s">
        <v>111</v>
      </c>
      <c r="H8" s="213"/>
      <c r="I8" s="210">
        <v>1</v>
      </c>
      <c r="J8" s="210"/>
      <c r="L8" s="213" t="s">
        <v>111</v>
      </c>
      <c r="M8" s="213"/>
      <c r="N8" s="210">
        <v>1</v>
      </c>
      <c r="O8" s="210"/>
    </row>
    <row r="9" spans="2:15" ht="15.75" x14ac:dyDescent="0.25">
      <c r="B9" s="213" t="s">
        <v>110</v>
      </c>
      <c r="C9" s="213"/>
      <c r="D9" s="210">
        <v>0</v>
      </c>
      <c r="E9" s="210"/>
      <c r="G9" s="213" t="s">
        <v>110</v>
      </c>
      <c r="H9" s="213"/>
      <c r="I9" s="210">
        <v>0</v>
      </c>
      <c r="J9" s="210"/>
      <c r="L9" s="213" t="s">
        <v>110</v>
      </c>
      <c r="M9" s="213"/>
      <c r="N9" s="210">
        <v>0</v>
      </c>
      <c r="O9" s="210"/>
    </row>
    <row r="10" spans="2:15" ht="16.5" thickBot="1" x14ac:dyDescent="0.3">
      <c r="B10" s="186" t="str">
        <f>References!$G$2</f>
        <v>Type</v>
      </c>
      <c r="C10" s="187" t="str">
        <f>References!$G$3</f>
        <v>Stat</v>
      </c>
      <c r="D10" s="188" t="str">
        <f>References!$G$7</f>
        <v>Nb</v>
      </c>
      <c r="E10" s="189" t="str">
        <f>References!$G$8</f>
        <v>Turns</v>
      </c>
      <c r="G10" s="186" t="str">
        <f>References!$G$2</f>
        <v>Type</v>
      </c>
      <c r="H10" s="187" t="str">
        <f>References!$G$3</f>
        <v>Stat</v>
      </c>
      <c r="I10" s="188" t="str">
        <f>References!$G$7</f>
        <v>Nb</v>
      </c>
      <c r="J10" s="189" t="str">
        <f>References!$G$8</f>
        <v>Turns</v>
      </c>
      <c r="L10" s="186" t="str">
        <f>References!$G$2</f>
        <v>Type</v>
      </c>
      <c r="M10" s="187" t="str">
        <f>References!$G$3</f>
        <v>Stat</v>
      </c>
      <c r="N10" s="190" t="str">
        <f>References!$G$7</f>
        <v>Nb</v>
      </c>
      <c r="O10" s="189" t="str">
        <f>References!$G$8</f>
        <v>Turns</v>
      </c>
    </row>
    <row r="11" spans="2:15" ht="16.5" thickBot="1" x14ac:dyDescent="0.3">
      <c r="B11" s="170"/>
      <c r="C11" s="145"/>
      <c r="D11" s="170"/>
      <c r="E11" s="172"/>
      <c r="G11" s="127" t="str">
        <f>References!$C$2</f>
        <v>Direct</v>
      </c>
      <c r="H11" s="143" t="str">
        <f>References!$A$2</f>
        <v>dmg</v>
      </c>
      <c r="I11" s="144">
        <v>2</v>
      </c>
      <c r="J11" s="172"/>
      <c r="L11" s="127" t="str">
        <f>References!$C$2</f>
        <v>Direct</v>
      </c>
      <c r="M11" s="143" t="str">
        <f>References!$A$2</f>
        <v>dmg</v>
      </c>
      <c r="N11" s="183">
        <v>3</v>
      </c>
      <c r="O11" s="172"/>
    </row>
    <row r="16" spans="2:15" ht="15.75" thickBot="1" x14ac:dyDescent="0.3"/>
    <row r="17" spans="2:26" ht="15.75" x14ac:dyDescent="0.25">
      <c r="B17" s="224" t="str">
        <f>References!$F$2</f>
        <v>Name</v>
      </c>
      <c r="C17" s="225"/>
      <c r="D17" s="222" t="s">
        <v>95</v>
      </c>
      <c r="E17" s="223"/>
      <c r="G17" s="224" t="str">
        <f>References!$F$2</f>
        <v>Name</v>
      </c>
      <c r="H17" s="225"/>
      <c r="I17" s="222" t="s">
        <v>125</v>
      </c>
      <c r="J17" s="223"/>
    </row>
    <row r="18" spans="2:26" ht="15.75" x14ac:dyDescent="0.25">
      <c r="B18" s="212" t="str">
        <f>References!$F$3</f>
        <v>Class</v>
      </c>
      <c r="C18" s="213"/>
      <c r="D18" s="218" t="str">
        <f>References!$D$3</f>
        <v>Scoundrel</v>
      </c>
      <c r="E18" s="219"/>
      <c r="G18" s="212" t="str">
        <f>References!$F$3</f>
        <v>Class</v>
      </c>
      <c r="H18" s="213"/>
      <c r="I18" s="218" t="str">
        <f>References!$D$3</f>
        <v>Scoundrel</v>
      </c>
      <c r="J18" s="219"/>
    </row>
    <row r="19" spans="2:26" ht="15.75" x14ac:dyDescent="0.25">
      <c r="B19" s="212" t="str">
        <f>References!$F$4</f>
        <v>Type</v>
      </c>
      <c r="C19" s="213"/>
      <c r="D19" s="218" t="str">
        <f>References!$B$2</f>
        <v>Offensive</v>
      </c>
      <c r="E19" s="219"/>
      <c r="G19" s="212" t="str">
        <f>References!$F$4</f>
        <v>Type</v>
      </c>
      <c r="H19" s="213"/>
      <c r="I19" s="218" t="str">
        <f>References!$B$2</f>
        <v>Offensive</v>
      </c>
      <c r="J19" s="219"/>
    </row>
    <row r="20" spans="2:26" ht="15.75" x14ac:dyDescent="0.25">
      <c r="B20" s="212" t="str">
        <f>References!$F$5</f>
        <v>Nb. Targets</v>
      </c>
      <c r="C20" s="213"/>
      <c r="D20" s="218">
        <v>1</v>
      </c>
      <c r="E20" s="219"/>
      <c r="G20" s="212" t="str">
        <f>References!$F$5</f>
        <v>Nb. Targets</v>
      </c>
      <c r="H20" s="213"/>
      <c r="I20" s="218">
        <v>1</v>
      </c>
      <c r="J20" s="219"/>
    </row>
    <row r="21" spans="2:26" ht="16.5" thickBot="1" x14ac:dyDescent="0.3">
      <c r="B21" s="214" t="str">
        <f>References!$F$6</f>
        <v>Energy cost</v>
      </c>
      <c r="C21" s="215"/>
      <c r="D21" s="216">
        <v>2</v>
      </c>
      <c r="E21" s="217"/>
      <c r="G21" s="214" t="str">
        <f>References!$F$6</f>
        <v>Energy cost</v>
      </c>
      <c r="H21" s="215"/>
      <c r="I21" s="216">
        <v>1</v>
      </c>
      <c r="J21" s="217"/>
    </row>
    <row r="22" spans="2:26" ht="15.75" x14ac:dyDescent="0.25">
      <c r="B22" s="212" t="s">
        <v>111</v>
      </c>
      <c r="C22" s="213"/>
      <c r="D22" s="210">
        <v>1</v>
      </c>
      <c r="E22" s="211"/>
      <c r="G22" s="212" t="s">
        <v>111</v>
      </c>
      <c r="H22" s="213"/>
      <c r="I22" s="210">
        <v>3</v>
      </c>
      <c r="J22" s="211"/>
    </row>
    <row r="23" spans="2:26" ht="16.5" thickBot="1" x14ac:dyDescent="0.3">
      <c r="B23" s="214" t="s">
        <v>110</v>
      </c>
      <c r="C23" s="215"/>
      <c r="D23" s="208">
        <v>0</v>
      </c>
      <c r="E23" s="209"/>
      <c r="G23" s="214" t="s">
        <v>110</v>
      </c>
      <c r="H23" s="215"/>
      <c r="I23" s="208">
        <v>0</v>
      </c>
      <c r="J23" s="209"/>
    </row>
    <row r="24" spans="2:26" ht="16.5" thickBot="1" x14ac:dyDescent="0.3">
      <c r="B24" s="133" t="str">
        <f>References!$G$2</f>
        <v>Type</v>
      </c>
      <c r="C24" s="135" t="str">
        <f>References!$G$3</f>
        <v>Stat</v>
      </c>
      <c r="D24" s="146" t="str">
        <f>References!$G$7</f>
        <v>Nb</v>
      </c>
      <c r="E24" s="147" t="str">
        <f>References!$G$8</f>
        <v>Turns</v>
      </c>
      <c r="G24" s="133" t="str">
        <f>References!$G$2</f>
        <v>Type</v>
      </c>
      <c r="H24" s="135" t="str">
        <f>References!$G$3</f>
        <v>Stat</v>
      </c>
      <c r="I24" s="146" t="str">
        <f>References!$G$7</f>
        <v>Nb</v>
      </c>
      <c r="J24" s="147" t="str">
        <f>References!$G$8</f>
        <v>Turns</v>
      </c>
    </row>
    <row r="25" spans="2:26" ht="16.5" thickBot="1" x14ac:dyDescent="0.3">
      <c r="B25" s="127" t="str">
        <f>References!$C$2</f>
        <v>Direct</v>
      </c>
      <c r="C25" s="143" t="str">
        <f>References!$A$2</f>
        <v>dmg</v>
      </c>
      <c r="D25" s="144">
        <v>2</v>
      </c>
      <c r="E25" s="145"/>
      <c r="G25" s="129" t="str">
        <f>References!$C$2</f>
        <v>Direct</v>
      </c>
      <c r="H25" s="139" t="str">
        <f>References!$A$2</f>
        <v>dmg</v>
      </c>
      <c r="I25" s="144">
        <v>2</v>
      </c>
      <c r="J25" s="145"/>
    </row>
    <row r="26" spans="2:26" ht="16.5" thickBot="1" x14ac:dyDescent="0.3">
      <c r="B26" s="129" t="str">
        <f>References!$C$3</f>
        <v>Temp</v>
      </c>
      <c r="C26" s="143" t="str">
        <f>References!$A$2</f>
        <v>dmg</v>
      </c>
      <c r="D26" s="141">
        <v>1</v>
      </c>
      <c r="E26" s="142">
        <v>2</v>
      </c>
      <c r="G26" s="13"/>
      <c r="H26" s="13"/>
      <c r="I26" s="156"/>
      <c r="J26" s="156"/>
    </row>
    <row r="29" spans="2:26" ht="15.75" thickBot="1" x14ac:dyDescent="0.3"/>
    <row r="30" spans="2:26" ht="15.75" x14ac:dyDescent="0.25">
      <c r="C30" s="224" t="str">
        <f>References!$F$2</f>
        <v>Name</v>
      </c>
      <c r="D30" s="225"/>
      <c r="E30" s="222" t="s">
        <v>92</v>
      </c>
      <c r="F30" s="223"/>
      <c r="M30" s="224" t="str">
        <f>References!$F$2</f>
        <v>Name</v>
      </c>
      <c r="N30" s="225"/>
      <c r="O30" s="222" t="s">
        <v>16</v>
      </c>
      <c r="P30" s="223"/>
      <c r="W30" s="224" t="str">
        <f>References!$F$2</f>
        <v>Name</v>
      </c>
      <c r="X30" s="225"/>
      <c r="Y30" s="222" t="s">
        <v>94</v>
      </c>
      <c r="Z30" s="223"/>
    </row>
    <row r="31" spans="2:26" ht="15.75" x14ac:dyDescent="0.25">
      <c r="C31" s="212" t="str">
        <f>References!$F$3</f>
        <v>Class</v>
      </c>
      <c r="D31" s="213"/>
      <c r="E31" s="218" t="e">
        <f>References!#REF!</f>
        <v>#REF!</v>
      </c>
      <c r="F31" s="219"/>
      <c r="M31" s="212" t="str">
        <f>References!$F$3</f>
        <v>Class</v>
      </c>
      <c r="N31" s="213"/>
      <c r="O31" s="218" t="str">
        <f>References!$E$7</f>
        <v>Assassin</v>
      </c>
      <c r="P31" s="219"/>
      <c r="W31" s="212" t="str">
        <f>References!$F$3</f>
        <v>Class</v>
      </c>
      <c r="X31" s="213"/>
      <c r="Y31" s="218" t="str">
        <f>References!$E$8</f>
        <v>Necromancer</v>
      </c>
      <c r="Z31" s="219"/>
    </row>
    <row r="32" spans="2:26" ht="15.75" x14ac:dyDescent="0.25">
      <c r="C32" s="212" t="str">
        <f>References!$F$4</f>
        <v>Type</v>
      </c>
      <c r="D32" s="213"/>
      <c r="E32" s="218" t="str">
        <f>References!$B$3</f>
        <v>Defensive</v>
      </c>
      <c r="F32" s="219"/>
      <c r="M32" s="212" t="str">
        <f>References!$F$4</f>
        <v>Type</v>
      </c>
      <c r="N32" s="213"/>
      <c r="O32" s="218" t="str">
        <f>References!$B$4</f>
        <v>Passive</v>
      </c>
      <c r="P32" s="219"/>
      <c r="W32" s="212" t="str">
        <f>References!$F$4</f>
        <v>Type</v>
      </c>
      <c r="X32" s="213"/>
      <c r="Y32" s="218" t="str">
        <f>References!$B$3</f>
        <v>Defensive</v>
      </c>
      <c r="Z32" s="219"/>
    </row>
    <row r="33" spans="1:29" ht="15.75" x14ac:dyDescent="0.25">
      <c r="C33" s="212" t="str">
        <f>References!$F$5</f>
        <v>Nb. Targets</v>
      </c>
      <c r="D33" s="213"/>
      <c r="E33" s="218">
        <v>1</v>
      </c>
      <c r="F33" s="219"/>
      <c r="M33" s="212" t="str">
        <f>References!$F$5</f>
        <v>Nb. Targets</v>
      </c>
      <c r="N33" s="213"/>
      <c r="O33" s="229"/>
      <c r="P33" s="234"/>
      <c r="W33" s="212" t="str">
        <f>References!$F$5</f>
        <v>Nb. Targets</v>
      </c>
      <c r="X33" s="213"/>
      <c r="Y33" s="229"/>
      <c r="Z33" s="234"/>
    </row>
    <row r="34" spans="1:29" ht="16.5" thickBot="1" x14ac:dyDescent="0.3">
      <c r="C34" s="214" t="str">
        <f>References!$F$6</f>
        <v>Energy cost</v>
      </c>
      <c r="D34" s="215"/>
      <c r="E34" s="216">
        <v>2</v>
      </c>
      <c r="F34" s="217"/>
      <c r="M34" s="214" t="str">
        <f>References!$F$6</f>
        <v>Energy cost</v>
      </c>
      <c r="N34" s="215"/>
      <c r="O34" s="232"/>
      <c r="P34" s="233"/>
      <c r="W34" s="214" t="str">
        <f>References!$F$6</f>
        <v>Energy cost</v>
      </c>
      <c r="X34" s="215"/>
      <c r="Y34" s="216">
        <v>2</v>
      </c>
      <c r="Z34" s="217"/>
    </row>
    <row r="35" spans="1:29" ht="15.75" x14ac:dyDescent="0.25">
      <c r="C35" s="212" t="s">
        <v>111</v>
      </c>
      <c r="D35" s="213"/>
      <c r="E35" s="210">
        <v>1</v>
      </c>
      <c r="F35" s="211"/>
      <c r="M35" s="212" t="s">
        <v>111</v>
      </c>
      <c r="N35" s="213"/>
      <c r="O35" s="210">
        <v>3</v>
      </c>
      <c r="P35" s="211"/>
      <c r="W35" s="212" t="s">
        <v>111</v>
      </c>
      <c r="X35" s="213"/>
      <c r="Y35" s="210">
        <v>1</v>
      </c>
      <c r="Z35" s="211"/>
    </row>
    <row r="36" spans="1:29" ht="16.5" thickBot="1" x14ac:dyDescent="0.3">
      <c r="C36" s="214" t="s">
        <v>110</v>
      </c>
      <c r="D36" s="215"/>
      <c r="E36" s="208">
        <v>0.5</v>
      </c>
      <c r="F36" s="230"/>
      <c r="M36" s="214" t="s">
        <v>110</v>
      </c>
      <c r="N36" s="215"/>
      <c r="O36" s="208">
        <v>0</v>
      </c>
      <c r="P36" s="230"/>
      <c r="W36" s="214" t="s">
        <v>110</v>
      </c>
      <c r="X36" s="215"/>
      <c r="Y36" s="208">
        <v>0</v>
      </c>
      <c r="Z36" s="230"/>
    </row>
    <row r="37" spans="1:29" ht="16.5" thickBot="1" x14ac:dyDescent="0.3">
      <c r="C37" s="133" t="str">
        <f>References!$G$2</f>
        <v>Type</v>
      </c>
      <c r="D37" s="135" t="str">
        <f>References!$G$3</f>
        <v>Stat</v>
      </c>
      <c r="E37" s="146" t="str">
        <f>References!$G$7</f>
        <v>Nb</v>
      </c>
      <c r="F37" s="147" t="str">
        <f>References!$G$8</f>
        <v>Turns</v>
      </c>
      <c r="M37" s="133" t="str">
        <f>References!$G$2</f>
        <v>Type</v>
      </c>
      <c r="N37" s="135" t="str">
        <f>References!$G$3</f>
        <v>Stat</v>
      </c>
      <c r="O37" s="146" t="str">
        <f>References!$G$7</f>
        <v>Nb</v>
      </c>
      <c r="P37" s="147" t="str">
        <f>References!$G$8</f>
        <v>Turns</v>
      </c>
      <c r="W37" s="133" t="str">
        <f>References!$G$2</f>
        <v>Type</v>
      </c>
      <c r="X37" s="135" t="str">
        <f>References!$G$3</f>
        <v>Stat</v>
      </c>
      <c r="Y37" s="146" t="str">
        <f>References!$G$7</f>
        <v>Nb</v>
      </c>
      <c r="Z37" s="147" t="str">
        <f>References!$G$8</f>
        <v>Turns</v>
      </c>
    </row>
    <row r="38" spans="1:29" ht="16.5" thickBot="1" x14ac:dyDescent="0.3">
      <c r="C38" s="127" t="str">
        <f>References!$C$2</f>
        <v>Direct</v>
      </c>
      <c r="D38" s="143" t="str">
        <f>References!$A$3</f>
        <v>hp</v>
      </c>
      <c r="E38" s="144">
        <v>2</v>
      </c>
      <c r="F38" s="145"/>
      <c r="M38" s="206"/>
      <c r="N38" s="203"/>
      <c r="O38" s="206"/>
      <c r="P38" s="203"/>
      <c r="W38" s="170"/>
      <c r="X38" s="145"/>
      <c r="Y38" s="170"/>
      <c r="Z38" s="145"/>
    </row>
    <row r="39" spans="1:29" ht="16.5" thickBot="1" x14ac:dyDescent="0.3">
      <c r="C39" s="129" t="str">
        <f>References!$C$3</f>
        <v>Temp</v>
      </c>
      <c r="D39" s="143" t="str">
        <f>References!$A$3</f>
        <v>hp</v>
      </c>
      <c r="E39" s="141">
        <v>2</v>
      </c>
      <c r="F39" s="142">
        <v>1</v>
      </c>
      <c r="M39" s="13"/>
      <c r="N39" s="13"/>
      <c r="O39" s="156"/>
      <c r="P39" s="156"/>
      <c r="W39" s="13"/>
      <c r="X39" s="13"/>
      <c r="Y39" s="156"/>
      <c r="Z39" s="156"/>
    </row>
    <row r="40" spans="1:29" ht="15.75" x14ac:dyDescent="0.25">
      <c r="C40" s="13"/>
      <c r="D40" s="13"/>
      <c r="E40" s="156"/>
      <c r="F40" s="156"/>
    </row>
    <row r="44" spans="1:29" ht="15.75" thickBot="1" x14ac:dyDescent="0.3"/>
    <row r="45" spans="1:29" ht="15.75" x14ac:dyDescent="0.25">
      <c r="A45" s="224" t="str">
        <f>References!$F$2</f>
        <v>Name</v>
      </c>
      <c r="B45" s="225"/>
      <c r="C45" s="222" t="s">
        <v>33</v>
      </c>
      <c r="D45" s="223"/>
      <c r="F45" s="224" t="str">
        <f>References!$F$2</f>
        <v>Name</v>
      </c>
      <c r="G45" s="225"/>
      <c r="H45" s="222" t="s">
        <v>96</v>
      </c>
      <c r="I45" s="223"/>
      <c r="K45" s="224" t="str">
        <f>References!$F$2</f>
        <v>Name</v>
      </c>
      <c r="L45" s="225"/>
      <c r="M45" s="222" t="s">
        <v>129</v>
      </c>
      <c r="N45" s="223"/>
      <c r="P45" s="224" t="str">
        <f>References!$F$2</f>
        <v>Name</v>
      </c>
      <c r="Q45" s="225"/>
      <c r="R45" s="222" t="s">
        <v>97</v>
      </c>
      <c r="S45" s="223"/>
      <c r="U45" s="224" t="str">
        <f>References!$F$2</f>
        <v>Name</v>
      </c>
      <c r="V45" s="225"/>
      <c r="W45" s="222" t="s">
        <v>24</v>
      </c>
      <c r="X45" s="223"/>
      <c r="Z45" s="224" t="str">
        <f>References!$F$2</f>
        <v>Name</v>
      </c>
      <c r="AA45" s="225"/>
      <c r="AB45" s="222" t="s">
        <v>25</v>
      </c>
      <c r="AC45" s="223"/>
    </row>
    <row r="46" spans="1:29" ht="15.75" x14ac:dyDescent="0.25">
      <c r="A46" s="212" t="str">
        <f>References!$F$3</f>
        <v>Class</v>
      </c>
      <c r="B46" s="213"/>
      <c r="C46" s="218" t="e">
        <f>References!#REF!</f>
        <v>#REF!</v>
      </c>
      <c r="D46" s="219"/>
      <c r="F46" s="212" t="str">
        <f>References!$F$3</f>
        <v>Class</v>
      </c>
      <c r="G46" s="213"/>
      <c r="H46" s="218" t="e">
        <f>References!#REF!</f>
        <v>#REF!</v>
      </c>
      <c r="I46" s="219"/>
      <c r="K46" s="212" t="str">
        <f>References!$F$3</f>
        <v>Class</v>
      </c>
      <c r="L46" s="213"/>
      <c r="M46" s="218" t="str">
        <f>References!$E$7</f>
        <v>Assassin</v>
      </c>
      <c r="N46" s="219"/>
      <c r="P46" s="212" t="str">
        <f>References!$F$3</f>
        <v>Class</v>
      </c>
      <c r="Q46" s="213"/>
      <c r="R46" s="218" t="str">
        <f>References!$E$7</f>
        <v>Assassin</v>
      </c>
      <c r="S46" s="219"/>
      <c r="U46" s="212" t="str">
        <f>References!$F$3</f>
        <v>Class</v>
      </c>
      <c r="V46" s="213"/>
      <c r="W46" s="218" t="str">
        <f>References!$E$8</f>
        <v>Necromancer</v>
      </c>
      <c r="X46" s="219"/>
      <c r="Z46" s="212" t="str">
        <f>References!$F$3</f>
        <v>Class</v>
      </c>
      <c r="AA46" s="213"/>
      <c r="AB46" s="218" t="str">
        <f>References!$E$8</f>
        <v>Necromancer</v>
      </c>
      <c r="AC46" s="219"/>
    </row>
    <row r="47" spans="1:29" ht="15.75" x14ac:dyDescent="0.25">
      <c r="A47" s="212" t="str">
        <f>References!$F$4</f>
        <v>Type</v>
      </c>
      <c r="B47" s="213"/>
      <c r="C47" s="218" t="str">
        <f>References!$B$3</f>
        <v>Defensive</v>
      </c>
      <c r="D47" s="219"/>
      <c r="F47" s="212" t="str">
        <f>References!$F$4</f>
        <v>Type</v>
      </c>
      <c r="G47" s="213"/>
      <c r="H47" s="218" t="str">
        <f>References!$B$2</f>
        <v>Offensive</v>
      </c>
      <c r="I47" s="219"/>
      <c r="K47" s="212" t="str">
        <f>References!$F$4</f>
        <v>Type</v>
      </c>
      <c r="L47" s="213"/>
      <c r="M47" s="218" t="str">
        <f>References!$B$3</f>
        <v>Defensive</v>
      </c>
      <c r="N47" s="219"/>
      <c r="P47" s="212" t="str">
        <f>References!$F$4</f>
        <v>Type</v>
      </c>
      <c r="Q47" s="213"/>
      <c r="R47" s="218" t="str">
        <f>References!$B$3</f>
        <v>Defensive</v>
      </c>
      <c r="S47" s="219"/>
      <c r="U47" s="212" t="str">
        <f>References!$F$4</f>
        <v>Type</v>
      </c>
      <c r="V47" s="213"/>
      <c r="W47" s="218" t="str">
        <f>References!$B$3</f>
        <v>Defensive</v>
      </c>
      <c r="X47" s="219"/>
      <c r="Z47" s="212" t="str">
        <f>References!$F$4</f>
        <v>Type</v>
      </c>
      <c r="AA47" s="213"/>
      <c r="AB47" s="218" t="str">
        <f>References!$B$2</f>
        <v>Offensive</v>
      </c>
      <c r="AC47" s="219"/>
    </row>
    <row r="48" spans="1:29" ht="15.75" x14ac:dyDescent="0.25">
      <c r="A48" s="212" t="str">
        <f>References!$F$5</f>
        <v>Nb. Targets</v>
      </c>
      <c r="B48" s="213"/>
      <c r="C48" s="218">
        <v>1</v>
      </c>
      <c r="D48" s="219"/>
      <c r="F48" s="212" t="str">
        <f>References!$F$5</f>
        <v>Nb. Targets</v>
      </c>
      <c r="G48" s="213"/>
      <c r="H48" s="218">
        <v>1</v>
      </c>
      <c r="I48" s="219"/>
      <c r="K48" s="212" t="str">
        <f>References!$F$5</f>
        <v>Nb. Targets</v>
      </c>
      <c r="L48" s="213"/>
      <c r="M48" s="218">
        <v>3</v>
      </c>
      <c r="N48" s="219"/>
      <c r="P48" s="212" t="str">
        <f>References!$F$5</f>
        <v>Nb. Targets</v>
      </c>
      <c r="Q48" s="213"/>
      <c r="R48" s="218">
        <v>1</v>
      </c>
      <c r="S48" s="219"/>
      <c r="U48" s="212" t="str">
        <f>References!$F$5</f>
        <v>Nb. Targets</v>
      </c>
      <c r="V48" s="213"/>
      <c r="W48" s="218">
        <v>3</v>
      </c>
      <c r="X48" s="219"/>
      <c r="Z48" s="212" t="str">
        <f>References!$F$5</f>
        <v>Nb. Targets</v>
      </c>
      <c r="AA48" s="213"/>
      <c r="AB48" s="218">
        <v>3</v>
      </c>
      <c r="AC48" s="219"/>
    </row>
    <row r="49" spans="1:29" ht="16.5" thickBot="1" x14ac:dyDescent="0.3">
      <c r="A49" s="214" t="str">
        <f>References!$F$6</f>
        <v>Energy cost</v>
      </c>
      <c r="B49" s="215"/>
      <c r="C49" s="216">
        <v>2</v>
      </c>
      <c r="D49" s="217"/>
      <c r="F49" s="214" t="str">
        <f>References!$F$6</f>
        <v>Energy cost</v>
      </c>
      <c r="G49" s="215"/>
      <c r="H49" s="216">
        <v>3</v>
      </c>
      <c r="I49" s="217"/>
      <c r="K49" s="214" t="str">
        <f>References!$F$6</f>
        <v>Energy cost</v>
      </c>
      <c r="L49" s="215"/>
      <c r="M49" s="216">
        <v>2</v>
      </c>
      <c r="N49" s="217"/>
      <c r="P49" s="214" t="str">
        <f>References!$F$6</f>
        <v>Energy cost</v>
      </c>
      <c r="Q49" s="215"/>
      <c r="R49" s="216">
        <v>3</v>
      </c>
      <c r="S49" s="217"/>
      <c r="U49" s="214" t="str">
        <f>References!$F$6</f>
        <v>Energy cost</v>
      </c>
      <c r="V49" s="215"/>
      <c r="W49" s="216">
        <v>2</v>
      </c>
      <c r="X49" s="217"/>
      <c r="Z49" s="214" t="str">
        <f>References!$F$6</f>
        <v>Energy cost</v>
      </c>
      <c r="AA49" s="215"/>
      <c r="AB49" s="216">
        <v>3</v>
      </c>
      <c r="AC49" s="217"/>
    </row>
    <row r="50" spans="1:29" ht="15.75" x14ac:dyDescent="0.25">
      <c r="A50" s="212" t="s">
        <v>111</v>
      </c>
      <c r="B50" s="213"/>
      <c r="C50" s="210">
        <v>1</v>
      </c>
      <c r="D50" s="211"/>
      <c r="F50" s="212" t="s">
        <v>111</v>
      </c>
      <c r="G50" s="213"/>
      <c r="H50" s="210">
        <v>1</v>
      </c>
      <c r="I50" s="211"/>
      <c r="K50" s="212" t="s">
        <v>111</v>
      </c>
      <c r="L50" s="213"/>
      <c r="M50" s="210">
        <v>3</v>
      </c>
      <c r="N50" s="211"/>
      <c r="P50" s="212" t="s">
        <v>111</v>
      </c>
      <c r="Q50" s="213"/>
      <c r="R50" s="210">
        <v>2</v>
      </c>
      <c r="S50" s="211"/>
      <c r="U50" s="212" t="s">
        <v>111</v>
      </c>
      <c r="V50" s="213"/>
      <c r="W50" s="210">
        <v>1</v>
      </c>
      <c r="X50" s="211"/>
      <c r="Z50" s="212" t="s">
        <v>111</v>
      </c>
      <c r="AA50" s="213"/>
      <c r="AB50" s="210">
        <v>1</v>
      </c>
      <c r="AC50" s="211"/>
    </row>
    <row r="51" spans="1:29" ht="16.5" thickBot="1" x14ac:dyDescent="0.3">
      <c r="A51" s="214" t="s">
        <v>110</v>
      </c>
      <c r="B51" s="215"/>
      <c r="C51" s="208">
        <v>0</v>
      </c>
      <c r="D51" s="230"/>
      <c r="F51" s="214" t="s">
        <v>110</v>
      </c>
      <c r="G51" s="215"/>
      <c r="H51" s="208">
        <v>0</v>
      </c>
      <c r="I51" s="230"/>
      <c r="K51" s="214" t="s">
        <v>110</v>
      </c>
      <c r="L51" s="215"/>
      <c r="M51" s="208">
        <v>0</v>
      </c>
      <c r="N51" s="230"/>
      <c r="P51" s="214" t="s">
        <v>110</v>
      </c>
      <c r="Q51" s="215"/>
      <c r="R51" s="208">
        <v>0.5</v>
      </c>
      <c r="S51" s="230"/>
      <c r="U51" s="214" t="s">
        <v>110</v>
      </c>
      <c r="V51" s="215"/>
      <c r="W51" s="208">
        <v>0.33</v>
      </c>
      <c r="X51" s="230"/>
      <c r="Z51" s="214" t="s">
        <v>110</v>
      </c>
      <c r="AA51" s="215"/>
      <c r="AB51" s="208">
        <v>0.33</v>
      </c>
      <c r="AC51" s="230"/>
    </row>
    <row r="52" spans="1:29" ht="16.5" thickBot="1" x14ac:dyDescent="0.3">
      <c r="A52" s="133" t="str">
        <f>References!$G$2</f>
        <v>Type</v>
      </c>
      <c r="B52" s="135" t="str">
        <f>References!$G$3</f>
        <v>Stat</v>
      </c>
      <c r="C52" s="146" t="str">
        <f>References!$G$7</f>
        <v>Nb</v>
      </c>
      <c r="D52" s="147" t="str">
        <f>References!$G$8</f>
        <v>Turns</v>
      </c>
      <c r="F52" s="133" t="str">
        <f>References!$G$2</f>
        <v>Type</v>
      </c>
      <c r="G52" s="135" t="str">
        <f>References!$G$3</f>
        <v>Stat</v>
      </c>
      <c r="H52" s="146" t="str">
        <f>References!$G$7</f>
        <v>Nb</v>
      </c>
      <c r="I52" s="147" t="str">
        <f>References!$G$8</f>
        <v>Turns</v>
      </c>
      <c r="K52" s="133" t="str">
        <f>References!$G$2</f>
        <v>Type</v>
      </c>
      <c r="L52" s="135" t="str">
        <f>References!$G$3</f>
        <v>Stat</v>
      </c>
      <c r="M52" s="146" t="str">
        <f>References!$G$7</f>
        <v>Nb</v>
      </c>
      <c r="N52" s="147" t="str">
        <f>References!$G$8</f>
        <v>Turns</v>
      </c>
      <c r="P52" s="133" t="str">
        <f>References!$G$2</f>
        <v>Type</v>
      </c>
      <c r="Q52" s="135" t="str">
        <f>References!$G$3</f>
        <v>Stat</v>
      </c>
      <c r="R52" s="146" t="str">
        <f>References!$G$7</f>
        <v>Nb</v>
      </c>
      <c r="S52" s="147" t="str">
        <f>References!$G$8</f>
        <v>Turns</v>
      </c>
      <c r="U52" s="133" t="str">
        <f>References!$G$2</f>
        <v>Type</v>
      </c>
      <c r="V52" s="135" t="str">
        <f>References!$G$3</f>
        <v>Stat</v>
      </c>
      <c r="W52" s="146" t="str">
        <f>References!$G$7</f>
        <v>Nb</v>
      </c>
      <c r="X52" s="147" t="str">
        <f>References!$G$8</f>
        <v>Turns</v>
      </c>
      <c r="Z52" s="133" t="str">
        <f>References!$G$2</f>
        <v>Type</v>
      </c>
      <c r="AA52" s="135" t="str">
        <f>References!$G$3</f>
        <v>Stat</v>
      </c>
      <c r="AB52" s="146" t="str">
        <f>References!$G$7</f>
        <v>Nb</v>
      </c>
      <c r="AC52" s="147" t="str">
        <f>References!$G$8</f>
        <v>Turns</v>
      </c>
    </row>
    <row r="53" spans="1:29" ht="16.5" thickBot="1" x14ac:dyDescent="0.3">
      <c r="A53" s="127" t="str">
        <f>References!$C$2</f>
        <v>Direct</v>
      </c>
      <c r="B53" s="143" t="str">
        <f>References!$A$7</f>
        <v>rtl</v>
      </c>
      <c r="C53" s="144">
        <v>3</v>
      </c>
      <c r="D53" s="145"/>
      <c r="F53" s="127" t="str">
        <f>References!$C$2</f>
        <v>Direct</v>
      </c>
      <c r="G53" s="143" t="str">
        <f>References!$A$2</f>
        <v>dmg</v>
      </c>
      <c r="H53" s="144">
        <v>8</v>
      </c>
      <c r="I53" s="145"/>
      <c r="K53" s="127" t="s">
        <v>11</v>
      </c>
      <c r="L53" s="143" t="s">
        <v>128</v>
      </c>
      <c r="M53" s="144" t="s">
        <v>131</v>
      </c>
      <c r="N53" s="142">
        <v>1</v>
      </c>
      <c r="P53" s="127" t="str">
        <f>References!$C$2</f>
        <v>Direct</v>
      </c>
      <c r="Q53" s="143" t="str">
        <f>References!$A$2</f>
        <v>dmg</v>
      </c>
      <c r="R53" s="144">
        <v>3</v>
      </c>
      <c r="S53" s="145"/>
      <c r="U53" s="129" t="str">
        <f>References!$C$2</f>
        <v>Direct</v>
      </c>
      <c r="V53" s="139" t="str">
        <f>References!$A$5</f>
        <v>def</v>
      </c>
      <c r="W53" s="144">
        <v>2</v>
      </c>
      <c r="X53" s="145"/>
      <c r="Z53" s="197" t="str">
        <f>References!$C$2</f>
        <v>Direct</v>
      </c>
      <c r="AA53" s="198" t="str">
        <f>References!$A$2</f>
        <v>dmg</v>
      </c>
      <c r="AB53" s="199">
        <v>6</v>
      </c>
      <c r="AC53" s="203"/>
    </row>
    <row r="54" spans="1:29" ht="16.5" thickBot="1" x14ac:dyDescent="0.3">
      <c r="A54" s="129" t="str">
        <f>References!$C$3</f>
        <v>Temp</v>
      </c>
      <c r="B54" s="143" t="str">
        <f>References!$A$7</f>
        <v>rtl</v>
      </c>
      <c r="C54" s="141">
        <v>3</v>
      </c>
      <c r="D54" s="142">
        <v>1</v>
      </c>
      <c r="F54" s="127" t="str">
        <f>References!$C$2</f>
        <v>Direct</v>
      </c>
      <c r="G54" s="139" t="str">
        <f>References!$A$5</f>
        <v>def</v>
      </c>
      <c r="H54" s="141">
        <v>2</v>
      </c>
      <c r="I54" s="145"/>
      <c r="K54" s="129" t="s">
        <v>11</v>
      </c>
      <c r="L54" s="143" t="s">
        <v>130</v>
      </c>
      <c r="M54" s="207">
        <v>1</v>
      </c>
      <c r="N54" s="142">
        <v>1</v>
      </c>
      <c r="P54" s="127" t="s">
        <v>11</v>
      </c>
      <c r="Q54" s="143" t="s">
        <v>46</v>
      </c>
      <c r="R54" s="141">
        <v>3</v>
      </c>
      <c r="S54" s="142">
        <v>2</v>
      </c>
      <c r="U54" s="129" t="str">
        <f>References!$C$3</f>
        <v>Temp</v>
      </c>
      <c r="V54" s="139" t="str">
        <f>References!$A$5</f>
        <v>def</v>
      </c>
      <c r="W54" s="141">
        <v>2</v>
      </c>
      <c r="X54" s="142">
        <v>1</v>
      </c>
      <c r="Z54" s="13"/>
      <c r="AA54" s="13"/>
      <c r="AB54" s="156"/>
      <c r="AC54" s="156"/>
    </row>
    <row r="55" spans="1:29" ht="16.5" thickBot="1" x14ac:dyDescent="0.3">
      <c r="F55" s="127" t="str">
        <f>References!$C$5</f>
        <v>SelfTemp</v>
      </c>
      <c r="G55" s="139" t="str">
        <f>References!$A$5</f>
        <v>def</v>
      </c>
      <c r="H55" s="144">
        <v>2</v>
      </c>
      <c r="I55" s="142">
        <v>1</v>
      </c>
      <c r="Z55" s="13"/>
      <c r="AA55" s="13"/>
      <c r="AB55" s="156"/>
      <c r="AC55" s="156"/>
    </row>
    <row r="56" spans="1:29" ht="16.5" thickBot="1" x14ac:dyDescent="0.3">
      <c r="F56" s="127" t="str">
        <f>References!$C$5</f>
        <v>SelfTemp</v>
      </c>
      <c r="G56" s="143" t="str">
        <f>References!$A$3</f>
        <v>hp</v>
      </c>
      <c r="H56" s="141">
        <v>4</v>
      </c>
      <c r="I56" s="142">
        <v>1</v>
      </c>
    </row>
  </sheetData>
  <mergeCells count="196">
    <mergeCell ref="B3:C3"/>
    <mergeCell ref="D3:E3"/>
    <mergeCell ref="G3:H3"/>
    <mergeCell ref="I3:J3"/>
    <mergeCell ref="L3:M3"/>
    <mergeCell ref="N3:O3"/>
    <mergeCell ref="B5:C5"/>
    <mergeCell ref="D5:E5"/>
    <mergeCell ref="G5:H5"/>
    <mergeCell ref="I5:J5"/>
    <mergeCell ref="L5:M5"/>
    <mergeCell ref="N5:O5"/>
    <mergeCell ref="B4:C4"/>
    <mergeCell ref="D4:E4"/>
    <mergeCell ref="G4:H4"/>
    <mergeCell ref="I4:J4"/>
    <mergeCell ref="L4:M4"/>
    <mergeCell ref="N4:O4"/>
    <mergeCell ref="B7:C7"/>
    <mergeCell ref="D7:E7"/>
    <mergeCell ref="G7:H7"/>
    <mergeCell ref="I7:J7"/>
    <mergeCell ref="L7:M7"/>
    <mergeCell ref="N7:O7"/>
    <mergeCell ref="B6:C6"/>
    <mergeCell ref="D6:E6"/>
    <mergeCell ref="G6:H6"/>
    <mergeCell ref="I6:J6"/>
    <mergeCell ref="L6:M6"/>
    <mergeCell ref="N6:O6"/>
    <mergeCell ref="B9:C9"/>
    <mergeCell ref="D9:E9"/>
    <mergeCell ref="G9:H9"/>
    <mergeCell ref="I9:J9"/>
    <mergeCell ref="L9:M9"/>
    <mergeCell ref="N9:O9"/>
    <mergeCell ref="B8:C8"/>
    <mergeCell ref="D8:E8"/>
    <mergeCell ref="G8:H8"/>
    <mergeCell ref="I8:J8"/>
    <mergeCell ref="L8:M8"/>
    <mergeCell ref="N8:O8"/>
    <mergeCell ref="B19:C19"/>
    <mergeCell ref="D19:E19"/>
    <mergeCell ref="G19:H19"/>
    <mergeCell ref="I19:J19"/>
    <mergeCell ref="B20:C20"/>
    <mergeCell ref="D20:E20"/>
    <mergeCell ref="G20:H20"/>
    <mergeCell ref="I20:J20"/>
    <mergeCell ref="B17:C17"/>
    <mergeCell ref="D17:E17"/>
    <mergeCell ref="G17:H17"/>
    <mergeCell ref="I17:J17"/>
    <mergeCell ref="B18:C18"/>
    <mergeCell ref="D18:E18"/>
    <mergeCell ref="G18:H18"/>
    <mergeCell ref="I18:J18"/>
    <mergeCell ref="B23:C23"/>
    <mergeCell ref="D23:E23"/>
    <mergeCell ref="G23:H23"/>
    <mergeCell ref="I23:J23"/>
    <mergeCell ref="C30:D30"/>
    <mergeCell ref="E30:F30"/>
    <mergeCell ref="B21:C21"/>
    <mergeCell ref="D21:E21"/>
    <mergeCell ref="G21:H21"/>
    <mergeCell ref="I21:J21"/>
    <mergeCell ref="B22:C22"/>
    <mergeCell ref="D22:E22"/>
    <mergeCell ref="G22:H22"/>
    <mergeCell ref="I22:J22"/>
    <mergeCell ref="C32:D32"/>
    <mergeCell ref="E32:F32"/>
    <mergeCell ref="M32:N32"/>
    <mergeCell ref="O32:P32"/>
    <mergeCell ref="W32:X32"/>
    <mergeCell ref="Y32:Z32"/>
    <mergeCell ref="M30:N30"/>
    <mergeCell ref="O30:P30"/>
    <mergeCell ref="W30:X30"/>
    <mergeCell ref="Y30:Z30"/>
    <mergeCell ref="C31:D31"/>
    <mergeCell ref="E31:F31"/>
    <mergeCell ref="M31:N31"/>
    <mergeCell ref="O31:P31"/>
    <mergeCell ref="W31:X31"/>
    <mergeCell ref="Y31:Z31"/>
    <mergeCell ref="C34:D34"/>
    <mergeCell ref="E34:F34"/>
    <mergeCell ref="M34:N34"/>
    <mergeCell ref="O34:P34"/>
    <mergeCell ref="W34:X34"/>
    <mergeCell ref="Y34:Z34"/>
    <mergeCell ref="C33:D33"/>
    <mergeCell ref="E33:F33"/>
    <mergeCell ref="M33:N33"/>
    <mergeCell ref="O33:P33"/>
    <mergeCell ref="W33:X33"/>
    <mergeCell ref="Y33:Z33"/>
    <mergeCell ref="C36:D36"/>
    <mergeCell ref="E36:F36"/>
    <mergeCell ref="M36:N36"/>
    <mergeCell ref="O36:P36"/>
    <mergeCell ref="W36:X36"/>
    <mergeCell ref="Y36:Z36"/>
    <mergeCell ref="C35:D35"/>
    <mergeCell ref="E35:F35"/>
    <mergeCell ref="M35:N35"/>
    <mergeCell ref="O35:P35"/>
    <mergeCell ref="W35:X35"/>
    <mergeCell ref="Y35:Z35"/>
    <mergeCell ref="P45:Q45"/>
    <mergeCell ref="R45:S45"/>
    <mergeCell ref="U45:V45"/>
    <mergeCell ref="W45:X45"/>
    <mergeCell ref="Z45:AA45"/>
    <mergeCell ref="AB45:AC45"/>
    <mergeCell ref="A45:B45"/>
    <mergeCell ref="C45:D45"/>
    <mergeCell ref="F45:G45"/>
    <mergeCell ref="H45:I45"/>
    <mergeCell ref="K45:L45"/>
    <mergeCell ref="M45:N45"/>
    <mergeCell ref="P46:Q46"/>
    <mergeCell ref="R46:S46"/>
    <mergeCell ref="U46:V46"/>
    <mergeCell ref="W46:X46"/>
    <mergeCell ref="Z46:AA46"/>
    <mergeCell ref="AB46:AC46"/>
    <mergeCell ref="A46:B46"/>
    <mergeCell ref="C46:D46"/>
    <mergeCell ref="F46:G46"/>
    <mergeCell ref="H46:I46"/>
    <mergeCell ref="K46:L46"/>
    <mergeCell ref="M46:N46"/>
    <mergeCell ref="P47:Q47"/>
    <mergeCell ref="R47:S47"/>
    <mergeCell ref="U47:V47"/>
    <mergeCell ref="W47:X47"/>
    <mergeCell ref="Z47:AA47"/>
    <mergeCell ref="AB47:AC47"/>
    <mergeCell ref="A47:B47"/>
    <mergeCell ref="C47:D47"/>
    <mergeCell ref="F47:G47"/>
    <mergeCell ref="H47:I47"/>
    <mergeCell ref="K47:L47"/>
    <mergeCell ref="M47:N47"/>
    <mergeCell ref="P48:Q48"/>
    <mergeCell ref="R48:S48"/>
    <mergeCell ref="U48:V48"/>
    <mergeCell ref="W48:X48"/>
    <mergeCell ref="Z48:AA48"/>
    <mergeCell ref="AB48:AC48"/>
    <mergeCell ref="A48:B48"/>
    <mergeCell ref="C48:D48"/>
    <mergeCell ref="F48:G48"/>
    <mergeCell ref="H48:I48"/>
    <mergeCell ref="K48:L48"/>
    <mergeCell ref="M48:N48"/>
    <mergeCell ref="P49:Q49"/>
    <mergeCell ref="R49:S49"/>
    <mergeCell ref="U49:V49"/>
    <mergeCell ref="W49:X49"/>
    <mergeCell ref="Z49:AA49"/>
    <mergeCell ref="AB49:AC49"/>
    <mergeCell ref="A49:B49"/>
    <mergeCell ref="C49:D49"/>
    <mergeCell ref="F49:G49"/>
    <mergeCell ref="H49:I49"/>
    <mergeCell ref="K49:L49"/>
    <mergeCell ref="M49:N49"/>
    <mergeCell ref="P50:Q50"/>
    <mergeCell ref="R50:S50"/>
    <mergeCell ref="U50:V50"/>
    <mergeCell ref="W50:X50"/>
    <mergeCell ref="Z50:AA50"/>
    <mergeCell ref="AB50:AC50"/>
    <mergeCell ref="A50:B50"/>
    <mergeCell ref="C50:D50"/>
    <mergeCell ref="F50:G50"/>
    <mergeCell ref="H50:I50"/>
    <mergeCell ref="K50:L50"/>
    <mergeCell ref="M50:N50"/>
    <mergeCell ref="P51:Q51"/>
    <mergeCell ref="R51:S51"/>
    <mergeCell ref="U51:V51"/>
    <mergeCell ref="W51:X51"/>
    <mergeCell ref="Z51:AA51"/>
    <mergeCell ref="AB51:AC51"/>
    <mergeCell ref="A51:B51"/>
    <mergeCell ref="C51:D51"/>
    <mergeCell ref="F51:G51"/>
    <mergeCell ref="H51:I51"/>
    <mergeCell ref="K51:L51"/>
    <mergeCell ref="M51:N51"/>
  </mergeCells>
  <pageMargins left="0" right="0" top="0" bottom="0" header="0" footer="0"/>
  <pageSetup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34D35-6281-48BC-ACFC-899483059AAB}">
  <sheetPr>
    <pageSetUpPr fitToPage="1"/>
  </sheetPr>
  <dimension ref="A3:AC56"/>
  <sheetViews>
    <sheetView topLeftCell="A3" workbookViewId="0">
      <selection activeCell="U11" sqref="U11"/>
    </sheetView>
  </sheetViews>
  <sheetFormatPr defaultRowHeight="15" x14ac:dyDescent="0.25"/>
  <sheetData>
    <row r="3" spans="2:15" ht="15.75" x14ac:dyDescent="0.25">
      <c r="B3" s="213" t="str">
        <f>References!$F$2</f>
        <v>Name</v>
      </c>
      <c r="C3" s="213"/>
      <c r="D3" s="218" t="s">
        <v>4</v>
      </c>
      <c r="E3" s="218"/>
      <c r="G3" s="213" t="str">
        <f>References!$F$2</f>
        <v>Name</v>
      </c>
      <c r="H3" s="213"/>
      <c r="I3" s="218" t="s">
        <v>0</v>
      </c>
      <c r="J3" s="218"/>
      <c r="L3" s="213" t="str">
        <f>References!$F$2</f>
        <v>Name</v>
      </c>
      <c r="M3" s="213"/>
      <c r="N3" s="218" t="s">
        <v>3</v>
      </c>
      <c r="O3" s="218"/>
    </row>
    <row r="4" spans="2:15" ht="15.75" x14ac:dyDescent="0.25">
      <c r="B4" s="213" t="str">
        <f>References!$F$3</f>
        <v>Class</v>
      </c>
      <c r="C4" s="213"/>
      <c r="D4" s="218" t="str">
        <f>References!$E$2</f>
        <v>Creature</v>
      </c>
      <c r="E4" s="218"/>
      <c r="G4" s="213" t="str">
        <f>References!$F$3</f>
        <v>Class</v>
      </c>
      <c r="H4" s="213"/>
      <c r="I4" s="218" t="str">
        <f>References!$E$2</f>
        <v>Creature</v>
      </c>
      <c r="J4" s="218"/>
      <c r="L4" s="213" t="str">
        <f>References!$F$3</f>
        <v>Class</v>
      </c>
      <c r="M4" s="213"/>
      <c r="N4" s="218" t="str">
        <f>References!$E$2</f>
        <v>Creature</v>
      </c>
      <c r="O4" s="218"/>
    </row>
    <row r="5" spans="2:15" ht="15.75" x14ac:dyDescent="0.25">
      <c r="B5" s="213" t="str">
        <f>References!$F$4</f>
        <v>Type</v>
      </c>
      <c r="C5" s="213"/>
      <c r="D5" s="229"/>
      <c r="E5" s="229"/>
      <c r="G5" s="213" t="str">
        <f>References!$F$4</f>
        <v>Type</v>
      </c>
      <c r="H5" s="213"/>
      <c r="I5" s="218" t="str">
        <f>References!$B$2</f>
        <v>Offensive</v>
      </c>
      <c r="J5" s="218"/>
      <c r="L5" s="213" t="str">
        <f>References!$F$4</f>
        <v>Type</v>
      </c>
      <c r="M5" s="213"/>
      <c r="N5" s="218" t="str">
        <f>References!$B$2</f>
        <v>Offensive</v>
      </c>
      <c r="O5" s="218"/>
    </row>
    <row r="6" spans="2:15" ht="15.75" x14ac:dyDescent="0.25">
      <c r="B6" s="213" t="str">
        <f>References!$F$5</f>
        <v>Nb. Targets</v>
      </c>
      <c r="C6" s="213"/>
      <c r="D6" s="229"/>
      <c r="E6" s="229"/>
      <c r="G6" s="213" t="str">
        <f>References!$F$5</f>
        <v>Nb. Targets</v>
      </c>
      <c r="H6" s="213"/>
      <c r="I6" s="218">
        <v>1</v>
      </c>
      <c r="J6" s="218"/>
      <c r="L6" s="213" t="str">
        <f>References!$F$5</f>
        <v>Nb. Targets</v>
      </c>
      <c r="M6" s="213"/>
      <c r="N6" s="218">
        <v>1</v>
      </c>
      <c r="O6" s="218"/>
    </row>
    <row r="7" spans="2:15" ht="15.75" x14ac:dyDescent="0.25">
      <c r="B7" s="213" t="str">
        <f>References!$F$6</f>
        <v>Energy cost</v>
      </c>
      <c r="C7" s="213"/>
      <c r="D7" s="218">
        <v>0</v>
      </c>
      <c r="E7" s="218"/>
      <c r="G7" s="213" t="str">
        <f>References!$F$6</f>
        <v>Energy cost</v>
      </c>
      <c r="H7" s="213"/>
      <c r="I7" s="218">
        <v>1</v>
      </c>
      <c r="J7" s="218"/>
      <c r="L7" s="213" t="str">
        <f>References!$F$6</f>
        <v>Energy cost</v>
      </c>
      <c r="M7" s="213"/>
      <c r="N7" s="218">
        <v>2</v>
      </c>
      <c r="O7" s="218"/>
    </row>
    <row r="8" spans="2:15" ht="15.75" x14ac:dyDescent="0.25">
      <c r="B8" s="213" t="s">
        <v>111</v>
      </c>
      <c r="C8" s="213"/>
      <c r="D8" s="210">
        <v>1</v>
      </c>
      <c r="E8" s="210"/>
      <c r="G8" s="213" t="s">
        <v>111</v>
      </c>
      <c r="H8" s="213"/>
      <c r="I8" s="210">
        <v>1</v>
      </c>
      <c r="J8" s="210"/>
      <c r="L8" s="213" t="s">
        <v>111</v>
      </c>
      <c r="M8" s="213"/>
      <c r="N8" s="210">
        <v>1</v>
      </c>
      <c r="O8" s="210"/>
    </row>
    <row r="9" spans="2:15" ht="15.75" x14ac:dyDescent="0.25">
      <c r="B9" s="213" t="s">
        <v>110</v>
      </c>
      <c r="C9" s="213"/>
      <c r="D9" s="210">
        <v>0</v>
      </c>
      <c r="E9" s="210"/>
      <c r="G9" s="213" t="s">
        <v>110</v>
      </c>
      <c r="H9" s="213"/>
      <c r="I9" s="210">
        <v>0</v>
      </c>
      <c r="J9" s="210"/>
      <c r="L9" s="213" t="s">
        <v>110</v>
      </c>
      <c r="M9" s="213"/>
      <c r="N9" s="210">
        <v>0</v>
      </c>
      <c r="O9" s="210"/>
    </row>
    <row r="10" spans="2:15" ht="16.5" thickBot="1" x14ac:dyDescent="0.3">
      <c r="B10" s="186" t="str">
        <f>References!$G$2</f>
        <v>Type</v>
      </c>
      <c r="C10" s="187" t="str">
        <f>References!$G$3</f>
        <v>Stat</v>
      </c>
      <c r="D10" s="188" t="str">
        <f>References!$G$7</f>
        <v>Nb</v>
      </c>
      <c r="E10" s="189" t="str">
        <f>References!$G$8</f>
        <v>Turns</v>
      </c>
      <c r="G10" s="186" t="str">
        <f>References!$G$2</f>
        <v>Type</v>
      </c>
      <c r="H10" s="187" t="str">
        <f>References!$G$3</f>
        <v>Stat</v>
      </c>
      <c r="I10" s="188" t="str">
        <f>References!$G$7</f>
        <v>Nb</v>
      </c>
      <c r="J10" s="189" t="str">
        <f>References!$G$8</f>
        <v>Turns</v>
      </c>
      <c r="L10" s="186" t="str">
        <f>References!$G$2</f>
        <v>Type</v>
      </c>
      <c r="M10" s="187" t="str">
        <f>References!$G$3</f>
        <v>Stat</v>
      </c>
      <c r="N10" s="190" t="str">
        <f>References!$G$7</f>
        <v>Nb</v>
      </c>
      <c r="O10" s="189" t="str">
        <f>References!$G$8</f>
        <v>Turns</v>
      </c>
    </row>
    <row r="11" spans="2:15" ht="16.5" thickBot="1" x14ac:dyDescent="0.3">
      <c r="B11" s="170"/>
      <c r="C11" s="145"/>
      <c r="D11" s="170"/>
      <c r="E11" s="172"/>
      <c r="G11" s="127" t="str">
        <f>References!$C$2</f>
        <v>Direct</v>
      </c>
      <c r="H11" s="143" t="str">
        <f>References!$A$2</f>
        <v>dmg</v>
      </c>
      <c r="I11" s="144">
        <v>2</v>
      </c>
      <c r="J11" s="172"/>
      <c r="L11" s="127" t="str">
        <f>References!$C$2</f>
        <v>Direct</v>
      </c>
      <c r="M11" s="143" t="str">
        <f>References!$A$2</f>
        <v>dmg</v>
      </c>
      <c r="N11" s="183">
        <v>3</v>
      </c>
      <c r="O11" s="172"/>
    </row>
    <row r="16" spans="2:15" ht="15.75" thickBot="1" x14ac:dyDescent="0.3"/>
    <row r="17" spans="2:26" ht="15.75" x14ac:dyDescent="0.25">
      <c r="B17" s="224" t="str">
        <f>References!$F$2</f>
        <v>Name</v>
      </c>
      <c r="C17" s="225"/>
      <c r="D17" s="222" t="s">
        <v>7</v>
      </c>
      <c r="E17" s="223"/>
      <c r="G17" s="224" t="str">
        <f>References!$F$2</f>
        <v>Name</v>
      </c>
      <c r="H17" s="225"/>
      <c r="I17" s="222" t="s">
        <v>105</v>
      </c>
      <c r="J17" s="223"/>
    </row>
    <row r="18" spans="2:26" ht="15.75" x14ac:dyDescent="0.25">
      <c r="B18" s="212" t="str">
        <f>References!$F$3</f>
        <v>Class</v>
      </c>
      <c r="C18" s="213"/>
      <c r="D18" s="218" t="str">
        <f>References!$D$4</f>
        <v>Sorcerer</v>
      </c>
      <c r="E18" s="219"/>
      <c r="G18" s="212" t="str">
        <f>References!$F$3</f>
        <v>Class</v>
      </c>
      <c r="H18" s="213"/>
      <c r="I18" s="218" t="str">
        <f>References!$D$4</f>
        <v>Sorcerer</v>
      </c>
      <c r="J18" s="219"/>
    </row>
    <row r="19" spans="2:26" ht="15.75" x14ac:dyDescent="0.25">
      <c r="B19" s="212" t="str">
        <f>References!$F$4</f>
        <v>Type</v>
      </c>
      <c r="C19" s="213"/>
      <c r="D19" s="218" t="str">
        <f>References!$B$2</f>
        <v>Offensive</v>
      </c>
      <c r="E19" s="219"/>
      <c r="G19" s="212" t="str">
        <f>References!$F$4</f>
        <v>Type</v>
      </c>
      <c r="H19" s="213"/>
      <c r="I19" s="218" t="str">
        <f>References!$B$3</f>
        <v>Defensive</v>
      </c>
      <c r="J19" s="219"/>
    </row>
    <row r="20" spans="2:26" ht="15.75" x14ac:dyDescent="0.25">
      <c r="B20" s="212" t="str">
        <f>References!$F$5</f>
        <v>Nb. Targets</v>
      </c>
      <c r="C20" s="213"/>
      <c r="D20" s="218">
        <v>1</v>
      </c>
      <c r="E20" s="219"/>
      <c r="G20" s="212" t="str">
        <f>References!$F$5</f>
        <v>Nb. Targets</v>
      </c>
      <c r="H20" s="213"/>
      <c r="I20" s="218">
        <v>1</v>
      </c>
      <c r="J20" s="219"/>
    </row>
    <row r="21" spans="2:26" ht="16.5" thickBot="1" x14ac:dyDescent="0.3">
      <c r="B21" s="214" t="str">
        <f>References!$F$6</f>
        <v>Energy cost</v>
      </c>
      <c r="C21" s="215"/>
      <c r="D21" s="216">
        <v>2</v>
      </c>
      <c r="E21" s="217"/>
      <c r="G21" s="214" t="str">
        <f>References!$F$6</f>
        <v>Energy cost</v>
      </c>
      <c r="H21" s="215"/>
      <c r="I21" s="216">
        <v>1</v>
      </c>
      <c r="J21" s="217"/>
    </row>
    <row r="22" spans="2:26" ht="15.75" x14ac:dyDescent="0.25">
      <c r="B22" s="212" t="s">
        <v>111</v>
      </c>
      <c r="C22" s="213"/>
      <c r="D22" s="210">
        <v>1</v>
      </c>
      <c r="E22" s="211"/>
      <c r="G22" s="212" t="s">
        <v>111</v>
      </c>
      <c r="H22" s="213"/>
      <c r="I22" s="210">
        <v>1</v>
      </c>
      <c r="J22" s="211"/>
    </row>
    <row r="23" spans="2:26" ht="16.5" thickBot="1" x14ac:dyDescent="0.3">
      <c r="B23" s="214" t="s">
        <v>110</v>
      </c>
      <c r="C23" s="215"/>
      <c r="D23" s="208">
        <v>0.66700000000000004</v>
      </c>
      <c r="E23" s="230"/>
      <c r="G23" s="214" t="s">
        <v>110</v>
      </c>
      <c r="H23" s="215"/>
      <c r="I23" s="235">
        <f>0+1/6</f>
        <v>0.16666666666666666</v>
      </c>
      <c r="J23" s="236"/>
    </row>
    <row r="24" spans="2:26" ht="16.5" thickBot="1" x14ac:dyDescent="0.3">
      <c r="B24" s="133" t="str">
        <f>References!$G$2</f>
        <v>Type</v>
      </c>
      <c r="C24" s="135" t="str">
        <f>References!$G$3</f>
        <v>Stat</v>
      </c>
      <c r="D24" s="146" t="str">
        <f>References!$G$7</f>
        <v>Nb</v>
      </c>
      <c r="E24" s="147" t="str">
        <f>References!$G$8</f>
        <v>Turns</v>
      </c>
      <c r="G24" s="133" t="str">
        <f>References!$G$2</f>
        <v>Type</v>
      </c>
      <c r="H24" s="135" t="str">
        <f>References!$G$3</f>
        <v>Stat</v>
      </c>
      <c r="I24" s="146" t="str">
        <f>References!$G$7</f>
        <v>Nb</v>
      </c>
      <c r="J24" s="147" t="str">
        <f>References!$G$8</f>
        <v>Turns</v>
      </c>
    </row>
    <row r="25" spans="2:26" ht="16.5" thickBot="1" x14ac:dyDescent="0.3">
      <c r="B25" s="127" t="str">
        <f>References!$C$2</f>
        <v>Direct</v>
      </c>
      <c r="C25" s="143" t="str">
        <f>References!$A$2</f>
        <v>dmg</v>
      </c>
      <c r="D25" s="144">
        <v>3</v>
      </c>
      <c r="E25" s="145"/>
      <c r="G25" s="201" t="str">
        <f>References!$C$2</f>
        <v>Direct</v>
      </c>
      <c r="H25" s="202" t="str">
        <f>References!$A$3</f>
        <v>hp</v>
      </c>
      <c r="I25" s="199">
        <v>3</v>
      </c>
      <c r="J25" s="203"/>
    </row>
    <row r="26" spans="2:26" ht="15.75" x14ac:dyDescent="0.25">
      <c r="G26" s="13"/>
      <c r="H26" s="13"/>
      <c r="I26" s="156"/>
      <c r="J26" s="156"/>
    </row>
    <row r="29" spans="2:26" ht="15.75" thickBot="1" x14ac:dyDescent="0.3"/>
    <row r="30" spans="2:26" ht="15.75" x14ac:dyDescent="0.25">
      <c r="C30" s="224" t="str">
        <f>References!$F$2</f>
        <v>Name</v>
      </c>
      <c r="D30" s="225"/>
      <c r="E30" s="222" t="s">
        <v>19</v>
      </c>
      <c r="F30" s="223"/>
      <c r="M30" s="224" t="str">
        <f>References!$F$2</f>
        <v>Name</v>
      </c>
      <c r="N30" s="225"/>
      <c r="O30" s="222" t="s">
        <v>20</v>
      </c>
      <c r="P30" s="223"/>
      <c r="W30" s="224" t="str">
        <f>References!$F$2</f>
        <v>Name</v>
      </c>
      <c r="X30" s="225"/>
      <c r="Y30" s="222" t="s">
        <v>106</v>
      </c>
      <c r="Z30" s="223"/>
    </row>
    <row r="31" spans="2:26" ht="15.75" x14ac:dyDescent="0.25">
      <c r="C31" s="212" t="str">
        <f>References!$F$3</f>
        <v>Class</v>
      </c>
      <c r="D31" s="213"/>
      <c r="E31" s="218" t="str">
        <f>References!$E$9</f>
        <v>Wizard</v>
      </c>
      <c r="F31" s="219"/>
      <c r="M31" s="212" t="str">
        <f>References!$F$3</f>
        <v>Class</v>
      </c>
      <c r="N31" s="213"/>
      <c r="O31" s="218" t="str">
        <f>References!$E$10</f>
        <v>Leech</v>
      </c>
      <c r="P31" s="219"/>
      <c r="W31" s="212" t="str">
        <f>References!$F$3</f>
        <v>Class</v>
      </c>
      <c r="X31" s="213"/>
      <c r="Y31" s="218" t="str">
        <f>References!$E$11</f>
        <v>Shaman</v>
      </c>
      <c r="Z31" s="219"/>
    </row>
    <row r="32" spans="2:26" ht="15.75" x14ac:dyDescent="0.25">
      <c r="C32" s="212" t="str">
        <f>References!$F$4</f>
        <v>Type</v>
      </c>
      <c r="D32" s="213"/>
      <c r="E32" s="218" t="str">
        <f>References!$B$2</f>
        <v>Offensive</v>
      </c>
      <c r="F32" s="219"/>
      <c r="M32" s="212" t="str">
        <f>References!$F$4</f>
        <v>Type</v>
      </c>
      <c r="N32" s="213"/>
      <c r="O32" s="218" t="str">
        <f>References!$B$2</f>
        <v>Offensive</v>
      </c>
      <c r="P32" s="219"/>
      <c r="W32" s="212" t="str">
        <f>References!$F$4</f>
        <v>Type</v>
      </c>
      <c r="X32" s="213"/>
      <c r="Y32" s="218" t="str">
        <f>References!$B$2</f>
        <v>Offensive</v>
      </c>
      <c r="Z32" s="219"/>
    </row>
    <row r="33" spans="1:29" ht="15.75" x14ac:dyDescent="0.25">
      <c r="C33" s="212" t="str">
        <f>References!$F$5</f>
        <v>Nb. Targets</v>
      </c>
      <c r="D33" s="213"/>
      <c r="E33" s="218">
        <v>3</v>
      </c>
      <c r="F33" s="219"/>
      <c r="M33" s="212" t="str">
        <f>References!$F$5</f>
        <v>Nb. Targets</v>
      </c>
      <c r="N33" s="213"/>
      <c r="O33" s="218">
        <v>1</v>
      </c>
      <c r="P33" s="219"/>
      <c r="W33" s="212" t="str">
        <f>References!$F$5</f>
        <v>Nb. Targets</v>
      </c>
      <c r="X33" s="213"/>
      <c r="Y33" s="218">
        <v>3</v>
      </c>
      <c r="Z33" s="219"/>
    </row>
    <row r="34" spans="1:29" ht="16.5" thickBot="1" x14ac:dyDescent="0.3">
      <c r="C34" s="214" t="str">
        <f>References!$F$6</f>
        <v>Energy cost</v>
      </c>
      <c r="D34" s="215"/>
      <c r="E34" s="216">
        <v>3</v>
      </c>
      <c r="F34" s="217"/>
      <c r="M34" s="214" t="str">
        <f>References!$F$6</f>
        <v>Energy cost</v>
      </c>
      <c r="N34" s="215"/>
      <c r="O34" s="216">
        <v>2</v>
      </c>
      <c r="P34" s="217"/>
      <c r="W34" s="214" t="str">
        <f>References!$F$6</f>
        <v>Energy cost</v>
      </c>
      <c r="X34" s="215"/>
      <c r="Y34" s="216">
        <v>1</v>
      </c>
      <c r="Z34" s="231"/>
    </row>
    <row r="35" spans="1:29" ht="15.75" x14ac:dyDescent="0.25">
      <c r="C35" s="212" t="s">
        <v>111</v>
      </c>
      <c r="D35" s="213"/>
      <c r="E35" s="210">
        <v>1</v>
      </c>
      <c r="F35" s="211"/>
      <c r="M35" s="212" t="s">
        <v>111</v>
      </c>
      <c r="N35" s="213"/>
      <c r="O35" s="210">
        <v>1</v>
      </c>
      <c r="P35" s="211"/>
      <c r="W35" s="212" t="s">
        <v>111</v>
      </c>
      <c r="X35" s="213"/>
      <c r="Y35" s="210">
        <v>2</v>
      </c>
      <c r="Z35" s="211"/>
    </row>
    <row r="36" spans="1:29" ht="16.5" thickBot="1" x14ac:dyDescent="0.3">
      <c r="C36" s="214" t="s">
        <v>110</v>
      </c>
      <c r="D36" s="215"/>
      <c r="E36" s="208">
        <v>0.5</v>
      </c>
      <c r="F36" s="230"/>
      <c r="M36" s="214" t="s">
        <v>110</v>
      </c>
      <c r="N36" s="215"/>
      <c r="O36" s="208">
        <v>0.5</v>
      </c>
      <c r="P36" s="230"/>
      <c r="W36" s="214" t="s">
        <v>110</v>
      </c>
      <c r="X36" s="215"/>
      <c r="Y36" s="208">
        <v>0</v>
      </c>
      <c r="Z36" s="230"/>
    </row>
    <row r="37" spans="1:29" ht="16.5" thickBot="1" x14ac:dyDescent="0.3">
      <c r="C37" s="133" t="str">
        <f>References!$G$2</f>
        <v>Type</v>
      </c>
      <c r="D37" s="135" t="str">
        <f>References!$G$3</f>
        <v>Stat</v>
      </c>
      <c r="E37" s="146" t="str">
        <f>References!$G$7</f>
        <v>Nb</v>
      </c>
      <c r="F37" s="147" t="str">
        <f>References!$G$8</f>
        <v>Turns</v>
      </c>
      <c r="M37" s="133" t="str">
        <f>References!$G$2</f>
        <v>Type</v>
      </c>
      <c r="N37" s="135" t="str">
        <f>References!$G$3</f>
        <v>Stat</v>
      </c>
      <c r="O37" s="146" t="str">
        <f>References!$G$7</f>
        <v>Nb</v>
      </c>
      <c r="P37" s="147" t="str">
        <f>References!$G$8</f>
        <v>Turns</v>
      </c>
      <c r="W37" s="133" t="str">
        <f>References!$G$2</f>
        <v>Type</v>
      </c>
      <c r="X37" s="135" t="str">
        <f>References!$G$3</f>
        <v>Stat</v>
      </c>
      <c r="Y37" s="146" t="str">
        <f>References!$G$7</f>
        <v>Nb</v>
      </c>
      <c r="Z37" s="147" t="str">
        <f>References!$G$8</f>
        <v>Turns</v>
      </c>
    </row>
    <row r="38" spans="1:29" ht="16.5" thickBot="1" x14ac:dyDescent="0.3">
      <c r="C38" s="201" t="str">
        <f>References!$C$2</f>
        <v>Direct</v>
      </c>
      <c r="D38" s="202" t="str">
        <f>References!$A$2</f>
        <v>dmg</v>
      </c>
      <c r="E38" s="199">
        <v>4</v>
      </c>
      <c r="F38" s="203"/>
      <c r="M38" s="127" t="str">
        <f>References!$C$2</f>
        <v>Direct</v>
      </c>
      <c r="N38" s="143" t="str">
        <f>References!$A$2</f>
        <v>dmg</v>
      </c>
      <c r="O38" s="144">
        <v>2</v>
      </c>
      <c r="P38" s="145"/>
      <c r="W38" s="197" t="str">
        <f>References!$C$2</f>
        <v>Direct</v>
      </c>
      <c r="X38" s="198" t="str">
        <f>References!$A$5</f>
        <v>def</v>
      </c>
      <c r="Y38" s="199">
        <v>2</v>
      </c>
      <c r="Z38" s="203"/>
    </row>
    <row r="39" spans="1:29" ht="16.5" thickBot="1" x14ac:dyDescent="0.3">
      <c r="C39" s="13"/>
      <c r="D39" s="13"/>
      <c r="E39" s="156"/>
      <c r="F39" s="156"/>
      <c r="M39" s="127" t="str">
        <f>References!$C$4</f>
        <v>SelfDirect</v>
      </c>
      <c r="N39" s="143" t="str">
        <f>References!$A$3</f>
        <v>hp</v>
      </c>
      <c r="O39" s="141">
        <v>2</v>
      </c>
      <c r="P39" s="145"/>
      <c r="W39" s="13"/>
      <c r="X39" s="13"/>
      <c r="Y39" s="156"/>
      <c r="Z39" s="156"/>
    </row>
    <row r="40" spans="1:29" ht="15.75" x14ac:dyDescent="0.25">
      <c r="C40" s="13"/>
      <c r="D40" s="13"/>
      <c r="E40" s="156"/>
      <c r="F40" s="156"/>
    </row>
    <row r="44" spans="1:29" ht="15.75" thickBot="1" x14ac:dyDescent="0.3"/>
    <row r="45" spans="1:29" ht="15.75" x14ac:dyDescent="0.25">
      <c r="A45" s="224" t="str">
        <f>References!$F$2</f>
        <v>Name</v>
      </c>
      <c r="B45" s="225"/>
      <c r="C45" s="222" t="s">
        <v>27</v>
      </c>
      <c r="D45" s="223"/>
      <c r="F45" s="224" t="str">
        <f>References!$F$2</f>
        <v>Name</v>
      </c>
      <c r="G45" s="225"/>
      <c r="H45" s="222" t="s">
        <v>107</v>
      </c>
      <c r="I45" s="223"/>
      <c r="K45" s="224" t="str">
        <f>References!$F$2</f>
        <v>Name</v>
      </c>
      <c r="L45" s="225"/>
      <c r="M45" s="222" t="s">
        <v>42</v>
      </c>
      <c r="N45" s="223"/>
      <c r="P45" s="224" t="str">
        <f>References!$F$2</f>
        <v>Name</v>
      </c>
      <c r="Q45" s="225"/>
      <c r="R45" s="222" t="s">
        <v>109</v>
      </c>
      <c r="S45" s="223"/>
      <c r="U45" s="224" t="str">
        <f>References!$F$2</f>
        <v>Name</v>
      </c>
      <c r="V45" s="225"/>
      <c r="W45" s="222" t="s">
        <v>38</v>
      </c>
      <c r="X45" s="223"/>
      <c r="Z45" s="224" t="str">
        <f>References!$F$2</f>
        <v>Name</v>
      </c>
      <c r="AA45" s="225"/>
      <c r="AB45" s="222" t="s">
        <v>108</v>
      </c>
      <c r="AC45" s="223"/>
    </row>
    <row r="46" spans="1:29" ht="15.75" x14ac:dyDescent="0.25">
      <c r="A46" s="212" t="str">
        <f>References!$F$3</f>
        <v>Class</v>
      </c>
      <c r="B46" s="213"/>
      <c r="C46" s="218" t="str">
        <f>References!$E$9</f>
        <v>Wizard</v>
      </c>
      <c r="D46" s="219"/>
      <c r="F46" s="212" t="str">
        <f>References!$F$3</f>
        <v>Class</v>
      </c>
      <c r="G46" s="213"/>
      <c r="H46" s="218" t="str">
        <f>References!$E$9</f>
        <v>Wizard</v>
      </c>
      <c r="I46" s="219"/>
      <c r="K46" s="212" t="str">
        <f>References!$F$3</f>
        <v>Class</v>
      </c>
      <c r="L46" s="213"/>
      <c r="M46" s="218" t="str">
        <f>References!$E$10</f>
        <v>Leech</v>
      </c>
      <c r="N46" s="219"/>
      <c r="P46" s="212" t="str">
        <f>References!$F$3</f>
        <v>Class</v>
      </c>
      <c r="Q46" s="213"/>
      <c r="R46" s="218" t="str">
        <f>References!$E$10</f>
        <v>Leech</v>
      </c>
      <c r="S46" s="219"/>
      <c r="U46" s="212" t="str">
        <f>References!$F$3</f>
        <v>Class</v>
      </c>
      <c r="V46" s="213"/>
      <c r="W46" s="218" t="str">
        <f>References!$E$11</f>
        <v>Shaman</v>
      </c>
      <c r="X46" s="219"/>
      <c r="Z46" s="212" t="str">
        <f>References!$F$3</f>
        <v>Class</v>
      </c>
      <c r="AA46" s="213"/>
      <c r="AB46" s="218" t="str">
        <f>References!$E$11</f>
        <v>Shaman</v>
      </c>
      <c r="AC46" s="219"/>
    </row>
    <row r="47" spans="1:29" ht="15.75" x14ac:dyDescent="0.25">
      <c r="A47" s="212" t="str">
        <f>References!$F$4</f>
        <v>Type</v>
      </c>
      <c r="B47" s="213"/>
      <c r="C47" s="218" t="str">
        <f>References!$B$2</f>
        <v>Offensive</v>
      </c>
      <c r="D47" s="219"/>
      <c r="F47" s="212" t="str">
        <f>References!$F$4</f>
        <v>Type</v>
      </c>
      <c r="G47" s="213"/>
      <c r="H47" s="218" t="str">
        <f>References!$B$2</f>
        <v>Offensive</v>
      </c>
      <c r="I47" s="219"/>
      <c r="K47" s="212" t="str">
        <f>References!$F$4</f>
        <v>Type</v>
      </c>
      <c r="L47" s="213"/>
      <c r="M47" s="218" t="str">
        <f>References!$B$2</f>
        <v>Offensive</v>
      </c>
      <c r="N47" s="219"/>
      <c r="P47" s="212" t="str">
        <f>References!$F$4</f>
        <v>Type</v>
      </c>
      <c r="Q47" s="213"/>
      <c r="R47" s="218" t="str">
        <f>References!$B$3</f>
        <v>Defensive</v>
      </c>
      <c r="S47" s="219"/>
      <c r="U47" s="212" t="str">
        <f>References!$F$4</f>
        <v>Type</v>
      </c>
      <c r="V47" s="213"/>
      <c r="W47" s="218" t="str">
        <f>References!$B$2</f>
        <v>Offensive</v>
      </c>
      <c r="X47" s="219"/>
      <c r="Z47" s="212" t="str">
        <f>References!$F$4</f>
        <v>Type</v>
      </c>
      <c r="AA47" s="213"/>
      <c r="AB47" s="218" t="str">
        <f>References!$B$3</f>
        <v>Defensive</v>
      </c>
      <c r="AC47" s="219"/>
    </row>
    <row r="48" spans="1:29" ht="15.75" x14ac:dyDescent="0.25">
      <c r="A48" s="212" t="str">
        <f>References!$F$5</f>
        <v>Nb. Targets</v>
      </c>
      <c r="B48" s="213"/>
      <c r="C48" s="218">
        <v>1</v>
      </c>
      <c r="D48" s="219"/>
      <c r="F48" s="212" t="str">
        <f>References!$F$5</f>
        <v>Nb. Targets</v>
      </c>
      <c r="G48" s="213"/>
      <c r="H48" s="218">
        <v>1</v>
      </c>
      <c r="I48" s="219"/>
      <c r="K48" s="212" t="str">
        <f>References!$F$5</f>
        <v>Nb. Targets</v>
      </c>
      <c r="L48" s="213"/>
      <c r="M48" s="218">
        <v>1</v>
      </c>
      <c r="N48" s="219"/>
      <c r="P48" s="212" t="str">
        <f>References!$F$5</f>
        <v>Nb. Targets</v>
      </c>
      <c r="Q48" s="213"/>
      <c r="R48" s="218">
        <v>1</v>
      </c>
      <c r="S48" s="219"/>
      <c r="U48" s="212" t="str">
        <f>References!$F$5</f>
        <v>Nb. Targets</v>
      </c>
      <c r="V48" s="213"/>
      <c r="W48" s="218">
        <v>1</v>
      </c>
      <c r="X48" s="219"/>
      <c r="Z48" s="212" t="str">
        <f>References!$F$5</f>
        <v>Nb. Targets</v>
      </c>
      <c r="AA48" s="213"/>
      <c r="AB48" s="218">
        <v>1</v>
      </c>
      <c r="AC48" s="219"/>
    </row>
    <row r="49" spans="1:29" ht="16.5" thickBot="1" x14ac:dyDescent="0.3">
      <c r="A49" s="214" t="str">
        <f>References!$F$6</f>
        <v>Energy cost</v>
      </c>
      <c r="B49" s="215"/>
      <c r="C49" s="216">
        <v>2</v>
      </c>
      <c r="D49" s="217"/>
      <c r="F49" s="214" t="str">
        <f>References!$F$6</f>
        <v>Energy cost</v>
      </c>
      <c r="G49" s="215"/>
      <c r="H49" s="216">
        <v>3</v>
      </c>
      <c r="I49" s="217"/>
      <c r="K49" s="214" t="str">
        <f>References!$F$6</f>
        <v>Energy cost</v>
      </c>
      <c r="L49" s="215"/>
      <c r="M49" s="216">
        <v>3</v>
      </c>
      <c r="N49" s="217"/>
      <c r="P49" s="214" t="str">
        <f>References!$F$6</f>
        <v>Energy cost</v>
      </c>
      <c r="Q49" s="215"/>
      <c r="R49" s="216">
        <v>3</v>
      </c>
      <c r="S49" s="217"/>
      <c r="U49" s="214" t="str">
        <f>References!$F$6</f>
        <v>Energy cost</v>
      </c>
      <c r="V49" s="215"/>
      <c r="W49" s="216">
        <v>3</v>
      </c>
      <c r="X49" s="217"/>
      <c r="Z49" s="214" t="str">
        <f>References!$F$6</f>
        <v>Energy cost</v>
      </c>
      <c r="AA49" s="215"/>
      <c r="AB49" s="216">
        <v>2</v>
      </c>
      <c r="AC49" s="217"/>
    </row>
    <row r="50" spans="1:29" ht="15.75" x14ac:dyDescent="0.25">
      <c r="A50" s="212" t="s">
        <v>111</v>
      </c>
      <c r="B50" s="213"/>
      <c r="C50" s="210">
        <v>2</v>
      </c>
      <c r="D50" s="211"/>
      <c r="F50" s="212" t="s">
        <v>111</v>
      </c>
      <c r="G50" s="213"/>
      <c r="H50" s="210">
        <v>1</v>
      </c>
      <c r="I50" s="211"/>
      <c r="K50" s="212" t="s">
        <v>111</v>
      </c>
      <c r="L50" s="213"/>
      <c r="M50" s="210">
        <v>3</v>
      </c>
      <c r="N50" s="211"/>
      <c r="P50" s="212" t="s">
        <v>111</v>
      </c>
      <c r="Q50" s="213"/>
      <c r="R50" s="210">
        <v>2</v>
      </c>
      <c r="S50" s="211"/>
      <c r="U50" s="212" t="s">
        <v>111</v>
      </c>
      <c r="V50" s="213"/>
      <c r="W50" s="210">
        <v>2</v>
      </c>
      <c r="X50" s="211"/>
      <c r="Z50" s="212" t="s">
        <v>111</v>
      </c>
      <c r="AA50" s="213"/>
      <c r="AB50" s="210">
        <v>2</v>
      </c>
      <c r="AC50" s="211"/>
    </row>
    <row r="51" spans="1:29" ht="16.5" thickBot="1" x14ac:dyDescent="0.3">
      <c r="A51" s="214" t="s">
        <v>110</v>
      </c>
      <c r="B51" s="215"/>
      <c r="C51" s="208">
        <v>0.5</v>
      </c>
      <c r="D51" s="230"/>
      <c r="F51" s="214" t="s">
        <v>110</v>
      </c>
      <c r="G51" s="215"/>
      <c r="H51" s="208">
        <v>0.33</v>
      </c>
      <c r="I51" s="230"/>
      <c r="K51" s="214" t="s">
        <v>110</v>
      </c>
      <c r="L51" s="215"/>
      <c r="M51" s="208">
        <v>0.5</v>
      </c>
      <c r="N51" s="230"/>
      <c r="P51" s="214" t="s">
        <v>110</v>
      </c>
      <c r="Q51" s="215"/>
      <c r="R51" s="208">
        <v>0</v>
      </c>
      <c r="S51" s="230"/>
      <c r="U51" s="214" t="s">
        <v>110</v>
      </c>
      <c r="V51" s="215"/>
      <c r="W51" s="208">
        <v>0</v>
      </c>
      <c r="X51" s="230"/>
      <c r="Z51" s="214" t="s">
        <v>110</v>
      </c>
      <c r="AA51" s="215"/>
      <c r="AB51" s="208">
        <v>0</v>
      </c>
      <c r="AC51" s="230"/>
    </row>
    <row r="52" spans="1:29" ht="16.5" thickBot="1" x14ac:dyDescent="0.3">
      <c r="A52" s="133" t="str">
        <f>References!$G$2</f>
        <v>Type</v>
      </c>
      <c r="B52" s="135" t="str">
        <f>References!$G$3</f>
        <v>Stat</v>
      </c>
      <c r="C52" s="146" t="str">
        <f>References!$G$7</f>
        <v>Nb</v>
      </c>
      <c r="D52" s="147" t="str">
        <f>References!$G$8</f>
        <v>Turns</v>
      </c>
      <c r="F52" s="133" t="str">
        <f>References!$G$2</f>
        <v>Type</v>
      </c>
      <c r="G52" s="135" t="str">
        <f>References!$G$3</f>
        <v>Stat</v>
      </c>
      <c r="H52" s="146" t="str">
        <f>References!$G$7</f>
        <v>Nb</v>
      </c>
      <c r="I52" s="147" t="str">
        <f>References!$G$8</f>
        <v>Turns</v>
      </c>
      <c r="K52" s="133" t="str">
        <f>References!$G$2</f>
        <v>Type</v>
      </c>
      <c r="L52" s="135" t="str">
        <f>References!$G$3</f>
        <v>Stat</v>
      </c>
      <c r="M52" s="146" t="str">
        <f>References!$G$7</f>
        <v>Nb</v>
      </c>
      <c r="N52" s="147" t="str">
        <f>References!$G$8</f>
        <v>Turns</v>
      </c>
      <c r="P52" s="133" t="str">
        <f>References!$G$2</f>
        <v>Type</v>
      </c>
      <c r="Q52" s="135" t="str">
        <f>References!$G$3</f>
        <v>Stat</v>
      </c>
      <c r="R52" s="146" t="str">
        <f>References!$G$7</f>
        <v>Nb</v>
      </c>
      <c r="S52" s="147" t="str">
        <f>References!$G$8</f>
        <v>Turns</v>
      </c>
      <c r="U52" s="133" t="str">
        <f>References!$G$2</f>
        <v>Type</v>
      </c>
      <c r="V52" s="135" t="str">
        <f>References!$G$3</f>
        <v>Stat</v>
      </c>
      <c r="W52" s="146" t="str">
        <f>References!$G$7</f>
        <v>Nb</v>
      </c>
      <c r="X52" s="147" t="str">
        <f>References!$G$8</f>
        <v>Turns</v>
      </c>
      <c r="Z52" s="133" t="str">
        <f>References!$G$2</f>
        <v>Type</v>
      </c>
      <c r="AA52" s="135" t="str">
        <f>References!$G$3</f>
        <v>Stat</v>
      </c>
      <c r="AB52" s="146" t="str">
        <f>References!$G$7</f>
        <v>Nb</v>
      </c>
      <c r="AC52" s="147" t="str">
        <f>References!$G$8</f>
        <v>Turns</v>
      </c>
    </row>
    <row r="53" spans="1:29" ht="16.5" thickBot="1" x14ac:dyDescent="0.3">
      <c r="A53" s="129" t="str">
        <f>References!$C$2</f>
        <v>Direct</v>
      </c>
      <c r="B53" s="139" t="str">
        <f>References!$A$2</f>
        <v>dmg</v>
      </c>
      <c r="C53" s="141">
        <v>4</v>
      </c>
      <c r="D53" s="175"/>
      <c r="F53" s="197" t="str">
        <f>References!$C$2</f>
        <v>Direct</v>
      </c>
      <c r="G53" s="202" t="str">
        <f>References!$A$2</f>
        <v>dmg</v>
      </c>
      <c r="H53" s="204">
        <v>9</v>
      </c>
      <c r="I53" s="205"/>
      <c r="K53" s="127" t="str">
        <f>References!$C$2</f>
        <v>Direct</v>
      </c>
      <c r="L53" s="143" t="str">
        <f>References!$A$2</f>
        <v>dmg</v>
      </c>
      <c r="M53" s="144">
        <v>10</v>
      </c>
      <c r="N53" s="145"/>
      <c r="P53" s="127" t="str">
        <f>References!$C$2</f>
        <v>Direct</v>
      </c>
      <c r="Q53" s="143" t="str">
        <f>References!$A$2</f>
        <v>dmg</v>
      </c>
      <c r="R53" s="144">
        <v>3</v>
      </c>
      <c r="S53" s="145"/>
      <c r="U53" s="129" t="str">
        <f>References!$C$2</f>
        <v>Direct</v>
      </c>
      <c r="V53" s="139" t="str">
        <f>References!$A$2</f>
        <v>dmg</v>
      </c>
      <c r="W53" s="141">
        <v>3</v>
      </c>
      <c r="X53" s="175"/>
      <c r="Z53" s="127" t="str">
        <f>References!$C$2</f>
        <v>Direct</v>
      </c>
      <c r="AA53" s="143" t="str">
        <f>References!$A$3</f>
        <v>hp</v>
      </c>
      <c r="AB53" s="144">
        <v>3</v>
      </c>
      <c r="AC53" s="145"/>
    </row>
    <row r="54" spans="1:29" ht="16.5" thickBot="1" x14ac:dyDescent="0.3">
      <c r="A54" s="129" t="str">
        <f>References!$C$3</f>
        <v>Temp</v>
      </c>
      <c r="B54" s="139" t="s">
        <v>128</v>
      </c>
      <c r="C54" s="144">
        <v>-2</v>
      </c>
      <c r="D54" s="142">
        <v>1</v>
      </c>
      <c r="F54" s="13"/>
      <c r="G54" s="13"/>
      <c r="H54" s="156"/>
      <c r="I54" s="156"/>
      <c r="K54" s="127" t="str">
        <f>References!$C$4</f>
        <v>SelfDirect</v>
      </c>
      <c r="L54" s="143" t="str">
        <f>References!$A$3</f>
        <v>hp</v>
      </c>
      <c r="M54" s="141">
        <v>-4</v>
      </c>
      <c r="N54" s="145"/>
      <c r="P54" s="127" t="str">
        <f>References!$C$2</f>
        <v>Direct</v>
      </c>
      <c r="Q54" s="143" t="str">
        <f>References!$A$4</f>
        <v>enrg</v>
      </c>
      <c r="R54" s="141">
        <v>2</v>
      </c>
      <c r="S54" s="145"/>
      <c r="U54" s="127" t="str">
        <f>References!$C$2</f>
        <v>Direct</v>
      </c>
      <c r="V54" s="143" t="str">
        <f>References!$A$8</f>
        <v>stun</v>
      </c>
      <c r="W54" s="141">
        <v>1</v>
      </c>
      <c r="X54" s="145"/>
      <c r="Z54" s="127" t="str">
        <f>References!$C$2</f>
        <v>Direct</v>
      </c>
      <c r="AA54" s="143" t="str">
        <f>References!$A$4</f>
        <v>enrg</v>
      </c>
      <c r="AB54" s="141">
        <v>2</v>
      </c>
      <c r="AC54" s="145"/>
    </row>
    <row r="55" spans="1:29" ht="15.75" x14ac:dyDescent="0.25">
      <c r="F55" s="13"/>
      <c r="G55" s="13"/>
      <c r="H55" s="156"/>
      <c r="I55" s="156"/>
      <c r="Z55" s="13"/>
      <c r="AA55" s="13"/>
      <c r="AB55" s="156"/>
      <c r="AC55" s="156"/>
    </row>
    <row r="56" spans="1:29" ht="15.75" x14ac:dyDescent="0.25">
      <c r="F56" s="13"/>
      <c r="G56" s="13"/>
      <c r="H56" s="156"/>
      <c r="I56" s="156"/>
    </row>
  </sheetData>
  <mergeCells count="196">
    <mergeCell ref="B4:C4"/>
    <mergeCell ref="D4:E4"/>
    <mergeCell ref="G4:H4"/>
    <mergeCell ref="I4:J4"/>
    <mergeCell ref="L4:M4"/>
    <mergeCell ref="N4:O4"/>
    <mergeCell ref="B3:C3"/>
    <mergeCell ref="D3:E3"/>
    <mergeCell ref="G3:H3"/>
    <mergeCell ref="I3:J3"/>
    <mergeCell ref="L3:M3"/>
    <mergeCell ref="N3:O3"/>
    <mergeCell ref="B6:C6"/>
    <mergeCell ref="D6:E6"/>
    <mergeCell ref="G6:H6"/>
    <mergeCell ref="I6:J6"/>
    <mergeCell ref="L6:M6"/>
    <mergeCell ref="N6:O6"/>
    <mergeCell ref="B5:C5"/>
    <mergeCell ref="D5:E5"/>
    <mergeCell ref="G5:H5"/>
    <mergeCell ref="I5:J5"/>
    <mergeCell ref="L5:M5"/>
    <mergeCell ref="N5:O5"/>
    <mergeCell ref="L9:M9"/>
    <mergeCell ref="N9:O9"/>
    <mergeCell ref="B8:C8"/>
    <mergeCell ref="D8:E8"/>
    <mergeCell ref="G8:H8"/>
    <mergeCell ref="I8:J8"/>
    <mergeCell ref="L8:M8"/>
    <mergeCell ref="N8:O8"/>
    <mergeCell ref="B7:C7"/>
    <mergeCell ref="D7:E7"/>
    <mergeCell ref="G7:H7"/>
    <mergeCell ref="I7:J7"/>
    <mergeCell ref="L7:M7"/>
    <mergeCell ref="N7:O7"/>
    <mergeCell ref="B17:C17"/>
    <mergeCell ref="D17:E17"/>
    <mergeCell ref="G17:H17"/>
    <mergeCell ref="I17:J17"/>
    <mergeCell ref="B18:C18"/>
    <mergeCell ref="D18:E18"/>
    <mergeCell ref="G18:H18"/>
    <mergeCell ref="I18:J18"/>
    <mergeCell ref="B9:C9"/>
    <mergeCell ref="D9:E9"/>
    <mergeCell ref="G9:H9"/>
    <mergeCell ref="I9:J9"/>
    <mergeCell ref="B21:C21"/>
    <mergeCell ref="D21:E21"/>
    <mergeCell ref="G21:H21"/>
    <mergeCell ref="I21:J21"/>
    <mergeCell ref="B22:C22"/>
    <mergeCell ref="D22:E22"/>
    <mergeCell ref="G22:H22"/>
    <mergeCell ref="I22:J22"/>
    <mergeCell ref="B19:C19"/>
    <mergeCell ref="D19:E19"/>
    <mergeCell ref="G19:H19"/>
    <mergeCell ref="I19:J19"/>
    <mergeCell ref="B20:C20"/>
    <mergeCell ref="D20:E20"/>
    <mergeCell ref="G20:H20"/>
    <mergeCell ref="I20:J20"/>
    <mergeCell ref="O30:P30"/>
    <mergeCell ref="W30:X30"/>
    <mergeCell ref="Y30:Z30"/>
    <mergeCell ref="E31:F31"/>
    <mergeCell ref="M31:N31"/>
    <mergeCell ref="O31:P31"/>
    <mergeCell ref="W31:X31"/>
    <mergeCell ref="Y31:Z31"/>
    <mergeCell ref="B23:C23"/>
    <mergeCell ref="D23:E23"/>
    <mergeCell ref="G23:H23"/>
    <mergeCell ref="I23:J23"/>
    <mergeCell ref="E30:F30"/>
    <mergeCell ref="M30:N30"/>
    <mergeCell ref="E32:F32"/>
    <mergeCell ref="M32:N32"/>
    <mergeCell ref="O32:P32"/>
    <mergeCell ref="W32:X32"/>
    <mergeCell ref="Y32:Z32"/>
    <mergeCell ref="E33:F33"/>
    <mergeCell ref="M33:N33"/>
    <mergeCell ref="O33:P33"/>
    <mergeCell ref="W33:X33"/>
    <mergeCell ref="Y33:Z33"/>
    <mergeCell ref="E34:F34"/>
    <mergeCell ref="M34:N34"/>
    <mergeCell ref="O34:P34"/>
    <mergeCell ref="W34:X34"/>
    <mergeCell ref="Y34:Z34"/>
    <mergeCell ref="E35:F35"/>
    <mergeCell ref="M35:N35"/>
    <mergeCell ref="O35:P35"/>
    <mergeCell ref="W35:X35"/>
    <mergeCell ref="Y35:Z35"/>
    <mergeCell ref="E36:F36"/>
    <mergeCell ref="M36:N36"/>
    <mergeCell ref="O36:P36"/>
    <mergeCell ref="W36:X36"/>
    <mergeCell ref="Y36:Z36"/>
    <mergeCell ref="A45:B45"/>
    <mergeCell ref="C45:D45"/>
    <mergeCell ref="F45:G45"/>
    <mergeCell ref="H45:I45"/>
    <mergeCell ref="K45:L45"/>
    <mergeCell ref="AB45:AC45"/>
    <mergeCell ref="A46:B46"/>
    <mergeCell ref="C46:D46"/>
    <mergeCell ref="F46:G46"/>
    <mergeCell ref="H46:I46"/>
    <mergeCell ref="K46:L46"/>
    <mergeCell ref="M46:N46"/>
    <mergeCell ref="P46:Q46"/>
    <mergeCell ref="R46:S46"/>
    <mergeCell ref="U46:V46"/>
    <mergeCell ref="M45:N45"/>
    <mergeCell ref="P45:Q45"/>
    <mergeCell ref="R45:S45"/>
    <mergeCell ref="U45:V45"/>
    <mergeCell ref="W45:X45"/>
    <mergeCell ref="Z45:AA45"/>
    <mergeCell ref="W46:X46"/>
    <mergeCell ref="Z46:AA46"/>
    <mergeCell ref="AB46:AC46"/>
    <mergeCell ref="A47:B47"/>
    <mergeCell ref="C47:D47"/>
    <mergeCell ref="F47:G47"/>
    <mergeCell ref="H47:I47"/>
    <mergeCell ref="K47:L47"/>
    <mergeCell ref="M47:N47"/>
    <mergeCell ref="P47:Q47"/>
    <mergeCell ref="W48:X48"/>
    <mergeCell ref="Z48:AA48"/>
    <mergeCell ref="R47:S47"/>
    <mergeCell ref="U47:V47"/>
    <mergeCell ref="W47:X47"/>
    <mergeCell ref="Z47:AA47"/>
    <mergeCell ref="AB47:AC47"/>
    <mergeCell ref="A48:B48"/>
    <mergeCell ref="C48:D48"/>
    <mergeCell ref="F48:G48"/>
    <mergeCell ref="H48:I48"/>
    <mergeCell ref="K48:L48"/>
    <mergeCell ref="A51:B51"/>
    <mergeCell ref="C51:D51"/>
    <mergeCell ref="F51:G51"/>
    <mergeCell ref="H51:I51"/>
    <mergeCell ref="K51:L51"/>
    <mergeCell ref="W49:X49"/>
    <mergeCell ref="Z49:AA49"/>
    <mergeCell ref="AB49:AC49"/>
    <mergeCell ref="A50:B50"/>
    <mergeCell ref="C50:D50"/>
    <mergeCell ref="F50:G50"/>
    <mergeCell ref="H50:I50"/>
    <mergeCell ref="K50:L50"/>
    <mergeCell ref="M50:N50"/>
    <mergeCell ref="P50:Q50"/>
    <mergeCell ref="A49:B49"/>
    <mergeCell ref="C49:D49"/>
    <mergeCell ref="F49:G49"/>
    <mergeCell ref="H49:I49"/>
    <mergeCell ref="K49:L49"/>
    <mergeCell ref="M49:N49"/>
    <mergeCell ref="P49:Q49"/>
    <mergeCell ref="R49:S49"/>
    <mergeCell ref="U49:V49"/>
    <mergeCell ref="AB51:AC51"/>
    <mergeCell ref="C30:D30"/>
    <mergeCell ref="C31:D31"/>
    <mergeCell ref="C32:D32"/>
    <mergeCell ref="C33:D33"/>
    <mergeCell ref="C34:D34"/>
    <mergeCell ref="C35:D35"/>
    <mergeCell ref="C36:D36"/>
    <mergeCell ref="M51:N51"/>
    <mergeCell ref="P51:Q51"/>
    <mergeCell ref="R51:S51"/>
    <mergeCell ref="U51:V51"/>
    <mergeCell ref="W51:X51"/>
    <mergeCell ref="Z51:AA51"/>
    <mergeCell ref="R50:S50"/>
    <mergeCell ref="U50:V50"/>
    <mergeCell ref="W50:X50"/>
    <mergeCell ref="Z50:AA50"/>
    <mergeCell ref="AB50:AC50"/>
    <mergeCell ref="AB48:AC48"/>
    <mergeCell ref="M48:N48"/>
    <mergeCell ref="P48:Q48"/>
    <mergeCell ref="R48:S48"/>
    <mergeCell ref="U48:V48"/>
  </mergeCells>
  <pageMargins left="0" right="0" top="0" bottom="0" header="0" footer="0"/>
  <pageSetup scale="5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388ED-06F7-470F-85A1-C2BE48AB1CF4}">
  <sheetPr>
    <pageSetUpPr fitToPage="1"/>
  </sheetPr>
  <dimension ref="A3:AC56"/>
  <sheetViews>
    <sheetView topLeftCell="B22" workbookViewId="0">
      <selection activeCell="M53" sqref="M53"/>
    </sheetView>
  </sheetViews>
  <sheetFormatPr defaultRowHeight="15" x14ac:dyDescent="0.25"/>
  <sheetData>
    <row r="3" spans="2:15" ht="15.75" x14ac:dyDescent="0.25">
      <c r="B3" s="213" t="str">
        <f>References!$F$2</f>
        <v>Name</v>
      </c>
      <c r="C3" s="213"/>
      <c r="D3" s="218" t="s">
        <v>4</v>
      </c>
      <c r="E3" s="218"/>
      <c r="G3" s="213" t="str">
        <f>References!$F$2</f>
        <v>Name</v>
      </c>
      <c r="H3" s="213"/>
      <c r="I3" s="218" t="s">
        <v>0</v>
      </c>
      <c r="J3" s="218"/>
      <c r="L3" s="213" t="str">
        <f>References!$F$2</f>
        <v>Name</v>
      </c>
      <c r="M3" s="213"/>
      <c r="N3" s="218" t="s">
        <v>3</v>
      </c>
      <c r="O3" s="218"/>
    </row>
    <row r="4" spans="2:15" ht="15.75" x14ac:dyDescent="0.25">
      <c r="B4" s="213" t="str">
        <f>References!$F$3</f>
        <v>Class</v>
      </c>
      <c r="C4" s="213"/>
      <c r="D4" s="218" t="str">
        <f>References!$E$2</f>
        <v>Creature</v>
      </c>
      <c r="E4" s="218"/>
      <c r="G4" s="213" t="str">
        <f>References!$F$3</f>
        <v>Class</v>
      </c>
      <c r="H4" s="213"/>
      <c r="I4" s="218" t="str">
        <f>References!$E$2</f>
        <v>Creature</v>
      </c>
      <c r="J4" s="218"/>
      <c r="L4" s="213" t="str">
        <f>References!$F$3</f>
        <v>Class</v>
      </c>
      <c r="M4" s="213"/>
      <c r="N4" s="218" t="str">
        <f>References!$E$2</f>
        <v>Creature</v>
      </c>
      <c r="O4" s="218"/>
    </row>
    <row r="5" spans="2:15" ht="15.75" x14ac:dyDescent="0.25">
      <c r="B5" s="213" t="str">
        <f>References!$F$4</f>
        <v>Type</v>
      </c>
      <c r="C5" s="213"/>
      <c r="D5" s="229"/>
      <c r="E5" s="229"/>
      <c r="G5" s="213" t="str">
        <f>References!$F$4</f>
        <v>Type</v>
      </c>
      <c r="H5" s="213"/>
      <c r="I5" s="218" t="str">
        <f>References!$B$2</f>
        <v>Offensive</v>
      </c>
      <c r="J5" s="218"/>
      <c r="L5" s="213" t="str">
        <f>References!$F$4</f>
        <v>Type</v>
      </c>
      <c r="M5" s="213"/>
      <c r="N5" s="218" t="str">
        <f>References!$B$2</f>
        <v>Offensive</v>
      </c>
      <c r="O5" s="218"/>
    </row>
    <row r="6" spans="2:15" ht="15.75" x14ac:dyDescent="0.25">
      <c r="B6" s="213" t="str">
        <f>References!$F$5</f>
        <v>Nb. Targets</v>
      </c>
      <c r="C6" s="213"/>
      <c r="D6" s="229"/>
      <c r="E6" s="229"/>
      <c r="G6" s="213" t="str">
        <f>References!$F$5</f>
        <v>Nb. Targets</v>
      </c>
      <c r="H6" s="213"/>
      <c r="I6" s="218">
        <v>1</v>
      </c>
      <c r="J6" s="218"/>
      <c r="L6" s="213" t="str">
        <f>References!$F$5</f>
        <v>Nb. Targets</v>
      </c>
      <c r="M6" s="213"/>
      <c r="N6" s="218">
        <v>1</v>
      </c>
      <c r="O6" s="218"/>
    </row>
    <row r="7" spans="2:15" ht="15.75" x14ac:dyDescent="0.25">
      <c r="B7" s="213" t="str">
        <f>References!$F$6</f>
        <v>Energy cost</v>
      </c>
      <c r="C7" s="213"/>
      <c r="D7" s="218">
        <v>0</v>
      </c>
      <c r="E7" s="218"/>
      <c r="G7" s="213" t="str">
        <f>References!$F$6</f>
        <v>Energy cost</v>
      </c>
      <c r="H7" s="213"/>
      <c r="I7" s="218">
        <v>1</v>
      </c>
      <c r="J7" s="218"/>
      <c r="L7" s="213" t="str">
        <f>References!$F$6</f>
        <v>Energy cost</v>
      </c>
      <c r="M7" s="213"/>
      <c r="N7" s="218">
        <v>2</v>
      </c>
      <c r="O7" s="218"/>
    </row>
    <row r="8" spans="2:15" ht="15.75" x14ac:dyDescent="0.25">
      <c r="B8" s="213" t="s">
        <v>111</v>
      </c>
      <c r="C8" s="213"/>
      <c r="D8" s="210">
        <v>1</v>
      </c>
      <c r="E8" s="210"/>
      <c r="G8" s="213" t="s">
        <v>111</v>
      </c>
      <c r="H8" s="213"/>
      <c r="I8" s="210">
        <v>1</v>
      </c>
      <c r="J8" s="210"/>
      <c r="L8" s="213" t="s">
        <v>111</v>
      </c>
      <c r="M8" s="213"/>
      <c r="N8" s="210">
        <v>1</v>
      </c>
      <c r="O8" s="210"/>
    </row>
    <row r="9" spans="2:15" ht="15.75" x14ac:dyDescent="0.25">
      <c r="B9" s="213" t="s">
        <v>110</v>
      </c>
      <c r="C9" s="213"/>
      <c r="D9" s="210">
        <v>0</v>
      </c>
      <c r="E9" s="210"/>
      <c r="G9" s="213" t="s">
        <v>110</v>
      </c>
      <c r="H9" s="213"/>
      <c r="I9" s="210">
        <v>0</v>
      </c>
      <c r="J9" s="210"/>
      <c r="L9" s="213" t="s">
        <v>110</v>
      </c>
      <c r="M9" s="213"/>
      <c r="N9" s="210">
        <v>0</v>
      </c>
      <c r="O9" s="210"/>
    </row>
    <row r="10" spans="2:15" ht="16.5" thickBot="1" x14ac:dyDescent="0.3">
      <c r="B10" s="186" t="str">
        <f>References!$G$2</f>
        <v>Type</v>
      </c>
      <c r="C10" s="187" t="str">
        <f>References!$G$3</f>
        <v>Stat</v>
      </c>
      <c r="D10" s="188" t="str">
        <f>References!$G$7</f>
        <v>Nb</v>
      </c>
      <c r="E10" s="189" t="str">
        <f>References!$G$8</f>
        <v>Turns</v>
      </c>
      <c r="G10" s="186" t="str">
        <f>References!$G$2</f>
        <v>Type</v>
      </c>
      <c r="H10" s="187" t="str">
        <f>References!$G$3</f>
        <v>Stat</v>
      </c>
      <c r="I10" s="188" t="str">
        <f>References!$G$7</f>
        <v>Nb</v>
      </c>
      <c r="J10" s="189" t="str">
        <f>References!$G$8</f>
        <v>Turns</v>
      </c>
      <c r="L10" s="186" t="str">
        <f>References!$G$2</f>
        <v>Type</v>
      </c>
      <c r="M10" s="187" t="str">
        <f>References!$G$3</f>
        <v>Stat</v>
      </c>
      <c r="N10" s="190" t="str">
        <f>References!$G$7</f>
        <v>Nb</v>
      </c>
      <c r="O10" s="189" t="str">
        <f>References!$G$8</f>
        <v>Turns</v>
      </c>
    </row>
    <row r="11" spans="2:15" ht="16.5" thickBot="1" x14ac:dyDescent="0.3">
      <c r="B11" s="170"/>
      <c r="C11" s="145"/>
      <c r="D11" s="170"/>
      <c r="E11" s="172"/>
      <c r="G11" s="127" t="str">
        <f>References!$C$2</f>
        <v>Direct</v>
      </c>
      <c r="H11" s="143" t="str">
        <f>References!$A$2</f>
        <v>dmg</v>
      </c>
      <c r="I11" s="144">
        <v>2</v>
      </c>
      <c r="J11" s="172"/>
      <c r="L11" s="127" t="str">
        <f>References!$C$2</f>
        <v>Direct</v>
      </c>
      <c r="M11" s="143" t="str">
        <f>References!$A$2</f>
        <v>dmg</v>
      </c>
      <c r="N11" s="183">
        <v>3</v>
      </c>
      <c r="O11" s="172"/>
    </row>
    <row r="17" spans="2:26" ht="15.75" x14ac:dyDescent="0.25">
      <c r="B17" s="213" t="str">
        <f>References!$F$2</f>
        <v>Name</v>
      </c>
      <c r="C17" s="213"/>
      <c r="D17" s="218" t="s">
        <v>5</v>
      </c>
      <c r="E17" s="218"/>
      <c r="G17" s="213" t="str">
        <f>References!$F$2</f>
        <v>Name</v>
      </c>
      <c r="H17" s="213"/>
      <c r="I17" s="218" t="s">
        <v>6</v>
      </c>
      <c r="J17" s="218"/>
    </row>
    <row r="18" spans="2:26" ht="15.75" x14ac:dyDescent="0.25">
      <c r="B18" s="213" t="str">
        <f>References!$F$3</f>
        <v>Class</v>
      </c>
      <c r="C18" s="213"/>
      <c r="D18" s="218" t="str">
        <f>References!$D$2</f>
        <v>Brawler</v>
      </c>
      <c r="E18" s="218"/>
      <c r="G18" s="213" t="str">
        <f>References!$F$3</f>
        <v>Class</v>
      </c>
      <c r="H18" s="213"/>
      <c r="I18" s="218" t="str">
        <f>References!$D$2</f>
        <v>Brawler</v>
      </c>
      <c r="J18" s="218"/>
    </row>
    <row r="19" spans="2:26" ht="15.75" x14ac:dyDescent="0.25">
      <c r="B19" s="213" t="str">
        <f>References!$F$4</f>
        <v>Type</v>
      </c>
      <c r="C19" s="213"/>
      <c r="D19" s="218" t="str">
        <f>References!$B$2</f>
        <v>Offensive</v>
      </c>
      <c r="E19" s="218"/>
      <c r="G19" s="213" t="str">
        <f>References!$F$4</f>
        <v>Type</v>
      </c>
      <c r="H19" s="213"/>
      <c r="I19" s="218" t="str">
        <f>References!$B$3</f>
        <v>Defensive</v>
      </c>
      <c r="J19" s="218"/>
    </row>
    <row r="20" spans="2:26" ht="15.75" x14ac:dyDescent="0.25">
      <c r="B20" s="213" t="str">
        <f>References!$F$5</f>
        <v>Nb. Targets</v>
      </c>
      <c r="C20" s="213"/>
      <c r="D20" s="218">
        <v>1</v>
      </c>
      <c r="E20" s="218"/>
      <c r="G20" s="213" t="str">
        <f>References!$F$5</f>
        <v>Nb. Targets</v>
      </c>
      <c r="H20" s="213"/>
      <c r="I20" s="218">
        <v>1</v>
      </c>
      <c r="J20" s="218"/>
    </row>
    <row r="21" spans="2:26" ht="15.75" x14ac:dyDescent="0.25">
      <c r="B21" s="213" t="str">
        <f>References!$F$6</f>
        <v>Energy cost</v>
      </c>
      <c r="C21" s="213"/>
      <c r="D21" s="218">
        <v>1</v>
      </c>
      <c r="E21" s="218"/>
      <c r="G21" s="213" t="str">
        <f>References!$F$6</f>
        <v>Energy cost</v>
      </c>
      <c r="H21" s="213"/>
      <c r="I21" s="218">
        <v>1</v>
      </c>
      <c r="J21" s="218"/>
    </row>
    <row r="22" spans="2:26" ht="15.75" x14ac:dyDescent="0.25">
      <c r="B22" s="213" t="s">
        <v>111</v>
      </c>
      <c r="C22" s="213"/>
      <c r="D22" s="210">
        <v>1</v>
      </c>
      <c r="E22" s="210"/>
      <c r="G22" s="213" t="s">
        <v>111</v>
      </c>
      <c r="H22" s="213"/>
      <c r="I22" s="210">
        <v>1</v>
      </c>
      <c r="J22" s="210"/>
    </row>
    <row r="23" spans="2:26" ht="15.75" x14ac:dyDescent="0.25">
      <c r="B23" s="213" t="s">
        <v>110</v>
      </c>
      <c r="C23" s="213"/>
      <c r="D23" s="210">
        <v>0.66700000000000004</v>
      </c>
      <c r="E23" s="210"/>
      <c r="G23" s="213" t="s">
        <v>110</v>
      </c>
      <c r="H23" s="213"/>
      <c r="I23" s="210">
        <v>0</v>
      </c>
      <c r="J23" s="210"/>
    </row>
    <row r="24" spans="2:26" ht="16.5" thickBot="1" x14ac:dyDescent="0.3">
      <c r="B24" s="186" t="str">
        <f>References!$G$2</f>
        <v>Type</v>
      </c>
      <c r="C24" s="187" t="str">
        <f>References!$G$3</f>
        <v>Stat</v>
      </c>
      <c r="D24" s="190" t="str">
        <f>References!$G$7</f>
        <v>Nb</v>
      </c>
      <c r="E24" s="189" t="str">
        <f>References!$G$8</f>
        <v>Turns</v>
      </c>
      <c r="G24" s="186" t="str">
        <f>References!$G$2</f>
        <v>Type</v>
      </c>
      <c r="H24" s="187" t="str">
        <f>References!$G$3</f>
        <v>Stat</v>
      </c>
      <c r="I24" s="190" t="str">
        <f>References!$G$7</f>
        <v>Nb</v>
      </c>
      <c r="J24" s="189" t="str">
        <f>References!$G$8</f>
        <v>Turns</v>
      </c>
    </row>
    <row r="25" spans="2:26" ht="16.5" thickBot="1" x14ac:dyDescent="0.3">
      <c r="B25" s="127" t="str">
        <f>References!$C$2</f>
        <v>Direct</v>
      </c>
      <c r="C25" s="143" t="str">
        <f>References!$A$2</f>
        <v>dmg</v>
      </c>
      <c r="D25" s="183">
        <v>2</v>
      </c>
      <c r="E25" s="172"/>
      <c r="G25" s="129" t="str">
        <f>References!$C$2</f>
        <v>Direct</v>
      </c>
      <c r="H25" s="139" t="str">
        <f>References!$A$5</f>
        <v>def</v>
      </c>
      <c r="I25" s="184">
        <v>1</v>
      </c>
      <c r="J25" s="180"/>
    </row>
    <row r="26" spans="2:26" ht="16.5" thickBot="1" x14ac:dyDescent="0.3">
      <c r="G26" s="129" t="str">
        <f>References!$C$3</f>
        <v>Temp</v>
      </c>
      <c r="H26" s="139" t="str">
        <f>References!$A$5</f>
        <v>def</v>
      </c>
      <c r="I26" s="184">
        <v>1</v>
      </c>
      <c r="J26" s="185">
        <v>2</v>
      </c>
    </row>
    <row r="30" spans="2:26" ht="15.75" x14ac:dyDescent="0.25">
      <c r="C30" s="195" t="str">
        <f>References!$F$2</f>
        <v>Name</v>
      </c>
      <c r="D30" s="196"/>
      <c r="E30" s="220" t="s">
        <v>13</v>
      </c>
      <c r="F30" s="228"/>
      <c r="M30" s="213" t="str">
        <f>References!$F$2</f>
        <v>Name</v>
      </c>
      <c r="N30" s="213"/>
      <c r="O30" s="218" t="s">
        <v>14</v>
      </c>
      <c r="P30" s="218"/>
      <c r="W30" s="213" t="str">
        <f>References!$F$2</f>
        <v>Name</v>
      </c>
      <c r="X30" s="213"/>
      <c r="Y30" s="218" t="s">
        <v>15</v>
      </c>
      <c r="Z30" s="218"/>
    </row>
    <row r="31" spans="2:26" ht="15.75" x14ac:dyDescent="0.25">
      <c r="C31" s="195" t="str">
        <f>References!$F$3</f>
        <v>Class</v>
      </c>
      <c r="D31" s="196"/>
      <c r="E31" s="220" t="str">
        <f>References!$E$3</f>
        <v>Mercenary</v>
      </c>
      <c r="F31" s="228"/>
      <c r="M31" s="213" t="str">
        <f>References!$F$3</f>
        <v>Class</v>
      </c>
      <c r="N31" s="213"/>
      <c r="O31" s="218" t="str">
        <f>References!$E$4</f>
        <v>Warlord</v>
      </c>
      <c r="P31" s="218"/>
      <c r="W31" s="213" t="str">
        <f>References!$F$3</f>
        <v>Class</v>
      </c>
      <c r="X31" s="213"/>
      <c r="Y31" s="218" t="str">
        <f>References!$E$5</f>
        <v>Berserker</v>
      </c>
      <c r="Z31" s="218"/>
    </row>
    <row r="32" spans="2:26" ht="15.75" x14ac:dyDescent="0.25">
      <c r="C32" s="195" t="str">
        <f>References!$F$4</f>
        <v>Type</v>
      </c>
      <c r="D32" s="196"/>
      <c r="E32" s="220" t="str">
        <f>References!$B$2</f>
        <v>Offensive</v>
      </c>
      <c r="F32" s="228"/>
      <c r="M32" s="213" t="str">
        <f>References!$F$4</f>
        <v>Type</v>
      </c>
      <c r="N32" s="213"/>
      <c r="O32" s="218" t="str">
        <f>References!$B$4</f>
        <v>Passive</v>
      </c>
      <c r="P32" s="218"/>
      <c r="W32" s="213" t="str">
        <f>References!$F$4</f>
        <v>Type</v>
      </c>
      <c r="X32" s="213"/>
      <c r="Y32" s="218" t="str">
        <f>References!$B$2</f>
        <v>Offensive</v>
      </c>
      <c r="Z32" s="218"/>
    </row>
    <row r="33" spans="1:29" ht="15.75" x14ac:dyDescent="0.25">
      <c r="C33" s="195" t="str">
        <f>References!$F$5</f>
        <v>Nb. Targets</v>
      </c>
      <c r="D33" s="196"/>
      <c r="E33" s="220">
        <v>1</v>
      </c>
      <c r="F33" s="228"/>
      <c r="M33" s="213" t="str">
        <f>References!$F$5</f>
        <v>Nb. Targets</v>
      </c>
      <c r="N33" s="213"/>
      <c r="O33" s="229"/>
      <c r="P33" s="229"/>
      <c r="W33" s="213" t="str">
        <f>References!$F$5</f>
        <v>Nb. Targets</v>
      </c>
      <c r="X33" s="213"/>
      <c r="Y33" s="218">
        <v>1</v>
      </c>
      <c r="Z33" s="218"/>
    </row>
    <row r="34" spans="1:29" ht="15.75" x14ac:dyDescent="0.25">
      <c r="C34" s="195" t="str">
        <f>References!$F$6</f>
        <v>Energy cost</v>
      </c>
      <c r="D34" s="196"/>
      <c r="E34" s="220">
        <v>2</v>
      </c>
      <c r="F34" s="228"/>
      <c r="M34" s="213" t="str">
        <f>References!$F$6</f>
        <v>Energy cost</v>
      </c>
      <c r="N34" s="213"/>
      <c r="O34" s="229"/>
      <c r="P34" s="229"/>
      <c r="W34" s="213" t="str">
        <f>References!$F$6</f>
        <v>Energy cost</v>
      </c>
      <c r="X34" s="213"/>
      <c r="Y34" s="218">
        <v>3</v>
      </c>
      <c r="Z34" s="218"/>
    </row>
    <row r="35" spans="1:29" ht="15.75" x14ac:dyDescent="0.25">
      <c r="C35" s="195" t="s">
        <v>111</v>
      </c>
      <c r="D35" s="196"/>
      <c r="E35" s="226">
        <v>1</v>
      </c>
      <c r="F35" s="227"/>
      <c r="M35" s="213" t="s">
        <v>111</v>
      </c>
      <c r="N35" s="213"/>
      <c r="O35" s="210">
        <v>1</v>
      </c>
      <c r="P35" s="210"/>
      <c r="W35" s="213" t="s">
        <v>111</v>
      </c>
      <c r="X35" s="213"/>
      <c r="Y35" s="210">
        <v>1</v>
      </c>
      <c r="Z35" s="210"/>
    </row>
    <row r="36" spans="1:29" ht="15.75" x14ac:dyDescent="0.25">
      <c r="C36" s="195" t="s">
        <v>110</v>
      </c>
      <c r="D36" s="196"/>
      <c r="E36" s="226">
        <v>0.33</v>
      </c>
      <c r="F36" s="227"/>
      <c r="M36" s="213" t="s">
        <v>110</v>
      </c>
      <c r="N36" s="213"/>
      <c r="O36" s="210">
        <v>0</v>
      </c>
      <c r="P36" s="210"/>
      <c r="W36" s="213" t="s">
        <v>110</v>
      </c>
      <c r="X36" s="213"/>
      <c r="Y36" s="210">
        <v>0</v>
      </c>
      <c r="Z36" s="210"/>
    </row>
    <row r="37" spans="1:29" ht="16.5" thickBot="1" x14ac:dyDescent="0.3">
      <c r="C37" s="186" t="str">
        <f>References!$G$2</f>
        <v>Type</v>
      </c>
      <c r="D37" s="187" t="str">
        <f>References!$G$3</f>
        <v>Stat</v>
      </c>
      <c r="E37" s="188" t="str">
        <f>References!$G$7</f>
        <v>Nb</v>
      </c>
      <c r="F37" s="189" t="str">
        <f>References!$G$8</f>
        <v>Turns</v>
      </c>
      <c r="M37" s="186" t="str">
        <f>References!$G$2</f>
        <v>Type</v>
      </c>
      <c r="N37" s="187" t="str">
        <f>References!$G$3</f>
        <v>Stat</v>
      </c>
      <c r="O37" s="188" t="str">
        <f>References!$G$7</f>
        <v>Nb</v>
      </c>
      <c r="P37" s="189" t="str">
        <f>References!$G$8</f>
        <v>Turns</v>
      </c>
      <c r="W37" s="186" t="str">
        <f>References!$G$2</f>
        <v>Type</v>
      </c>
      <c r="X37" s="187" t="str">
        <f>References!$G$3</f>
        <v>Stat</v>
      </c>
      <c r="Y37" s="188" t="str">
        <f>References!$G$7</f>
        <v>Nb</v>
      </c>
      <c r="Z37" s="191" t="str">
        <f>References!$G$8</f>
        <v>Turns</v>
      </c>
    </row>
    <row r="38" spans="1:29" ht="16.5" thickBot="1" x14ac:dyDescent="0.3">
      <c r="C38" s="127" t="str">
        <f>References!$C$2</f>
        <v>Direct</v>
      </c>
      <c r="D38" s="143" t="str">
        <f>References!$A$2</f>
        <v>dmg</v>
      </c>
      <c r="E38" s="144">
        <v>3</v>
      </c>
      <c r="F38" s="172"/>
      <c r="M38" s="129" t="str">
        <f>References!$B$4</f>
        <v>Passive</v>
      </c>
      <c r="N38" s="139" t="str">
        <f>References!$A$5</f>
        <v>def</v>
      </c>
      <c r="O38" s="181">
        <v>1</v>
      </c>
      <c r="P38" s="180"/>
      <c r="W38" s="127" t="str">
        <f>References!$C$2</f>
        <v>Direct</v>
      </c>
      <c r="X38" s="143" t="str">
        <f>References!$A$2</f>
        <v>dmg</v>
      </c>
      <c r="Y38" s="144">
        <v>4</v>
      </c>
      <c r="Z38" s="145"/>
    </row>
    <row r="39" spans="1:29" ht="16.5" thickBot="1" x14ac:dyDescent="0.3">
      <c r="C39" s="129" t="str">
        <f>References!$C$4</f>
        <v>SelfDirect</v>
      </c>
      <c r="D39" s="139" t="str">
        <f>References!$A$5</f>
        <v>def</v>
      </c>
      <c r="E39" s="141">
        <v>1</v>
      </c>
      <c r="F39" s="172"/>
      <c r="W39" s="127" t="str">
        <f>References!$C$2</f>
        <v>Direct</v>
      </c>
      <c r="X39" s="143" t="str">
        <f>References!$A$2</f>
        <v>dmg</v>
      </c>
      <c r="Y39" s="141">
        <v>3</v>
      </c>
      <c r="Z39" s="145"/>
    </row>
    <row r="40" spans="1:29" ht="16.5" thickBot="1" x14ac:dyDescent="0.3">
      <c r="C40" s="127" t="str">
        <f>References!$C$5</f>
        <v>SelfTemp</v>
      </c>
      <c r="D40" s="139" t="str">
        <f>References!$A$5</f>
        <v>def</v>
      </c>
      <c r="E40" s="141">
        <v>1</v>
      </c>
      <c r="F40" s="185">
        <v>2</v>
      </c>
    </row>
    <row r="44" spans="1:29" ht="15.75" thickBot="1" x14ac:dyDescent="0.3"/>
    <row r="45" spans="1:29" ht="15.75" x14ac:dyDescent="0.25">
      <c r="A45" s="213" t="str">
        <f>References!$F$2</f>
        <v>Name</v>
      </c>
      <c r="B45" s="213"/>
      <c r="C45" s="218" t="s">
        <v>31</v>
      </c>
      <c r="D45" s="218"/>
      <c r="F45" s="224" t="str">
        <f>References!$F$2</f>
        <v>Name</v>
      </c>
      <c r="G45" s="225"/>
      <c r="H45" s="222" t="s">
        <v>102</v>
      </c>
      <c r="I45" s="223"/>
      <c r="K45" s="224" t="str">
        <f>References!$F$2</f>
        <v>Name</v>
      </c>
      <c r="L45" s="225"/>
      <c r="M45" s="222" t="s">
        <v>103</v>
      </c>
      <c r="N45" s="223"/>
      <c r="P45" s="224" t="str">
        <f>References!$F$2</f>
        <v>Name</v>
      </c>
      <c r="Q45" s="225"/>
      <c r="R45" s="222" t="s">
        <v>30</v>
      </c>
      <c r="S45" s="223"/>
      <c r="U45" s="224" t="str">
        <f>References!$F$2</f>
        <v>Name</v>
      </c>
      <c r="V45" s="225"/>
      <c r="W45" s="222" t="s">
        <v>32</v>
      </c>
      <c r="X45" s="223"/>
      <c r="Z45" s="224" t="str">
        <f>References!$F$2</f>
        <v>Name</v>
      </c>
      <c r="AA45" s="225"/>
      <c r="AB45" s="222" t="s">
        <v>104</v>
      </c>
      <c r="AC45" s="223"/>
    </row>
    <row r="46" spans="1:29" ht="15.75" x14ac:dyDescent="0.25">
      <c r="A46" s="213" t="str">
        <f>References!$F$3</f>
        <v>Class</v>
      </c>
      <c r="B46" s="213"/>
      <c r="C46" s="218" t="str">
        <f>References!$E$3</f>
        <v>Mercenary</v>
      </c>
      <c r="D46" s="218"/>
      <c r="F46" s="212" t="str">
        <f>References!$F$3</f>
        <v>Class</v>
      </c>
      <c r="G46" s="213"/>
      <c r="H46" s="218" t="str">
        <f>References!$E$3</f>
        <v>Mercenary</v>
      </c>
      <c r="I46" s="219"/>
      <c r="K46" s="212" t="str">
        <f>References!$F$3</f>
        <v>Class</v>
      </c>
      <c r="L46" s="213"/>
      <c r="M46" s="218" t="str">
        <f>References!$E$4</f>
        <v>Warlord</v>
      </c>
      <c r="N46" s="219"/>
      <c r="P46" s="212" t="str">
        <f>References!$F$3</f>
        <v>Class</v>
      </c>
      <c r="Q46" s="213"/>
      <c r="R46" s="218" t="str">
        <f>References!$E$4</f>
        <v>Warlord</v>
      </c>
      <c r="S46" s="219"/>
      <c r="U46" s="212" t="str">
        <f>References!$F$3</f>
        <v>Class</v>
      </c>
      <c r="V46" s="213"/>
      <c r="W46" s="218" t="str">
        <f>References!$E$5</f>
        <v>Berserker</v>
      </c>
      <c r="X46" s="219"/>
      <c r="Z46" s="212" t="str">
        <f>References!$F$3</f>
        <v>Class</v>
      </c>
      <c r="AA46" s="213"/>
      <c r="AB46" s="218" t="str">
        <f>References!$E$5</f>
        <v>Berserker</v>
      </c>
      <c r="AC46" s="219"/>
    </row>
    <row r="47" spans="1:29" ht="15.75" x14ac:dyDescent="0.25">
      <c r="A47" s="213" t="str">
        <f>References!$F$4</f>
        <v>Type</v>
      </c>
      <c r="B47" s="213"/>
      <c r="C47" s="218" t="str">
        <f>References!$B$2</f>
        <v>Offensive</v>
      </c>
      <c r="D47" s="218"/>
      <c r="F47" s="212" t="str">
        <f>References!$F$4</f>
        <v>Type</v>
      </c>
      <c r="G47" s="213"/>
      <c r="H47" s="218" t="str">
        <f>References!$B$3</f>
        <v>Defensive</v>
      </c>
      <c r="I47" s="219"/>
      <c r="K47" s="212" t="str">
        <f>References!$F$4</f>
        <v>Type</v>
      </c>
      <c r="L47" s="213"/>
      <c r="M47" s="218" t="str">
        <f>References!$B$2</f>
        <v>Offensive</v>
      </c>
      <c r="N47" s="219"/>
      <c r="P47" s="212" t="str">
        <f>References!$F$4</f>
        <v>Type</v>
      </c>
      <c r="Q47" s="213"/>
      <c r="R47" s="218" t="str">
        <f>References!$B$3</f>
        <v>Defensive</v>
      </c>
      <c r="S47" s="219"/>
      <c r="U47" s="212" t="str">
        <f>References!$F$4</f>
        <v>Type</v>
      </c>
      <c r="V47" s="213"/>
      <c r="W47" s="220" t="str">
        <f>References!$B$3</f>
        <v>Defensive</v>
      </c>
      <c r="X47" s="221"/>
      <c r="Z47" s="212" t="str">
        <f>References!$F$4</f>
        <v>Type</v>
      </c>
      <c r="AA47" s="213"/>
      <c r="AB47" s="218" t="str">
        <f>References!$B$2</f>
        <v>Offensive</v>
      </c>
      <c r="AC47" s="219"/>
    </row>
    <row r="48" spans="1:29" ht="15.75" x14ac:dyDescent="0.25">
      <c r="A48" s="213" t="str">
        <f>References!$F$5</f>
        <v>Nb. Targets</v>
      </c>
      <c r="B48" s="213"/>
      <c r="C48" s="218">
        <v>2</v>
      </c>
      <c r="D48" s="218"/>
      <c r="F48" s="212" t="str">
        <f>References!$F$5</f>
        <v>Nb. Targets</v>
      </c>
      <c r="G48" s="213"/>
      <c r="H48" s="218">
        <v>1</v>
      </c>
      <c r="I48" s="219"/>
      <c r="K48" s="212" t="str">
        <f>References!$F$5</f>
        <v>Nb. Targets</v>
      </c>
      <c r="L48" s="213"/>
      <c r="M48" s="218">
        <v>1</v>
      </c>
      <c r="N48" s="219"/>
      <c r="P48" s="212" t="str">
        <f>References!$F$5</f>
        <v>Nb. Targets</v>
      </c>
      <c r="Q48" s="213"/>
      <c r="R48" s="218">
        <v>1</v>
      </c>
      <c r="S48" s="219"/>
      <c r="U48" s="212" t="str">
        <f>References!$F$5</f>
        <v>Nb. Targets</v>
      </c>
      <c r="V48" s="213"/>
      <c r="W48" s="218">
        <v>3</v>
      </c>
      <c r="X48" s="219"/>
      <c r="Z48" s="212" t="str">
        <f>References!$F$5</f>
        <v>Nb. Targets</v>
      </c>
      <c r="AA48" s="213"/>
      <c r="AB48" s="218">
        <v>1</v>
      </c>
      <c r="AC48" s="219"/>
    </row>
    <row r="49" spans="1:29" ht="16.5" thickBot="1" x14ac:dyDescent="0.3">
      <c r="A49" s="213" t="str">
        <f>References!$F$6</f>
        <v>Energy cost</v>
      </c>
      <c r="B49" s="213"/>
      <c r="C49" s="218">
        <v>3</v>
      </c>
      <c r="D49" s="218"/>
      <c r="F49" s="214" t="str">
        <f>References!$F$6</f>
        <v>Energy cost</v>
      </c>
      <c r="G49" s="215"/>
      <c r="H49" s="216">
        <v>2</v>
      </c>
      <c r="I49" s="217"/>
      <c r="K49" s="214" t="str">
        <f>References!$F$6</f>
        <v>Energy cost</v>
      </c>
      <c r="L49" s="215"/>
      <c r="M49" s="216">
        <v>4</v>
      </c>
      <c r="N49" s="217"/>
      <c r="P49" s="214" t="str">
        <f>References!$F$6</f>
        <v>Energy cost</v>
      </c>
      <c r="Q49" s="215"/>
      <c r="R49" s="216">
        <v>2</v>
      </c>
      <c r="S49" s="217"/>
      <c r="U49" s="214" t="str">
        <f>References!$F$6</f>
        <v>Energy cost</v>
      </c>
      <c r="V49" s="215"/>
      <c r="W49" s="216">
        <v>2</v>
      </c>
      <c r="X49" s="217"/>
      <c r="Z49" s="214" t="str">
        <f>References!$F$6</f>
        <v>Energy cost</v>
      </c>
      <c r="AA49" s="215"/>
      <c r="AB49" s="216">
        <v>3</v>
      </c>
      <c r="AC49" s="217"/>
    </row>
    <row r="50" spans="1:29" ht="15.75" x14ac:dyDescent="0.25">
      <c r="A50" s="213" t="s">
        <v>111</v>
      </c>
      <c r="B50" s="213"/>
      <c r="C50" s="210">
        <v>2</v>
      </c>
      <c r="D50" s="210"/>
      <c r="F50" s="213" t="s">
        <v>111</v>
      </c>
      <c r="G50" s="213"/>
      <c r="H50" s="210">
        <v>2</v>
      </c>
      <c r="I50" s="210"/>
      <c r="K50" s="212" t="s">
        <v>111</v>
      </c>
      <c r="L50" s="213"/>
      <c r="M50" s="210">
        <v>1</v>
      </c>
      <c r="N50" s="211"/>
      <c r="P50" s="212" t="s">
        <v>111</v>
      </c>
      <c r="Q50" s="213"/>
      <c r="R50" s="210">
        <v>2</v>
      </c>
      <c r="S50" s="211"/>
      <c r="U50" s="212" t="s">
        <v>111</v>
      </c>
      <c r="V50" s="213"/>
      <c r="W50" s="210">
        <v>1</v>
      </c>
      <c r="X50" s="211"/>
      <c r="Z50" s="212" t="s">
        <v>111</v>
      </c>
      <c r="AA50" s="213"/>
      <c r="AB50" s="210">
        <v>1</v>
      </c>
      <c r="AC50" s="211"/>
    </row>
    <row r="51" spans="1:29" ht="16.5" thickBot="1" x14ac:dyDescent="0.3">
      <c r="A51" s="213" t="s">
        <v>110</v>
      </c>
      <c r="B51" s="213"/>
      <c r="C51" s="210">
        <v>0.5</v>
      </c>
      <c r="D51" s="210"/>
      <c r="F51" s="213" t="s">
        <v>110</v>
      </c>
      <c r="G51" s="213"/>
      <c r="H51" s="210">
        <v>0</v>
      </c>
      <c r="I51" s="210"/>
      <c r="K51" s="212" t="s">
        <v>110</v>
      </c>
      <c r="L51" s="213"/>
      <c r="M51" s="210">
        <v>0.66700000000000004</v>
      </c>
      <c r="N51" s="211"/>
      <c r="P51" s="212" t="s">
        <v>110</v>
      </c>
      <c r="Q51" s="213"/>
      <c r="R51" s="210">
        <v>0.17</v>
      </c>
      <c r="S51" s="211"/>
      <c r="U51" s="214" t="s">
        <v>110</v>
      </c>
      <c r="V51" s="215"/>
      <c r="W51" s="208">
        <v>0.33</v>
      </c>
      <c r="X51" s="209"/>
      <c r="Z51" s="214" t="s">
        <v>110</v>
      </c>
      <c r="AA51" s="215"/>
      <c r="AB51" s="208">
        <v>0.33</v>
      </c>
      <c r="AC51" s="209"/>
    </row>
    <row r="52" spans="1:29" ht="16.5" thickBot="1" x14ac:dyDescent="0.3">
      <c r="A52" s="186" t="str">
        <f>References!$G$2</f>
        <v>Type</v>
      </c>
      <c r="B52" s="187" t="str">
        <f>References!$G$3</f>
        <v>Stat</v>
      </c>
      <c r="C52" s="188" t="str">
        <f>References!$G$7</f>
        <v>Nb</v>
      </c>
      <c r="D52" s="191" t="str">
        <f>References!$G$8</f>
        <v>Turns</v>
      </c>
      <c r="F52" s="133" t="str">
        <f>References!$G$2</f>
        <v>Type</v>
      </c>
      <c r="G52" s="135" t="str">
        <f>References!$G$3</f>
        <v>Stat</v>
      </c>
      <c r="H52" s="146" t="str">
        <f>References!$G$7</f>
        <v>Nb</v>
      </c>
      <c r="I52" s="147" t="str">
        <f>References!$G$8</f>
        <v>Turns</v>
      </c>
      <c r="K52" s="133" t="str">
        <f>References!$G$2</f>
        <v>Type</v>
      </c>
      <c r="L52" s="135" t="str">
        <f>References!$G$3</f>
        <v>Stat</v>
      </c>
      <c r="M52" s="146" t="str">
        <f>References!$G$7</f>
        <v>Nb</v>
      </c>
      <c r="N52" s="182" t="str">
        <f>References!$G$8</f>
        <v>Turns</v>
      </c>
      <c r="P52" s="133" t="str">
        <f>References!$G$2</f>
        <v>Type</v>
      </c>
      <c r="Q52" s="135" t="str">
        <f>References!$G$3</f>
        <v>Stat</v>
      </c>
      <c r="R52" s="146" t="str">
        <f>References!$G$7</f>
        <v>Nb</v>
      </c>
      <c r="S52" s="182" t="str">
        <f>References!$G$8</f>
        <v>Turns</v>
      </c>
      <c r="U52" s="133" t="str">
        <f>References!$G$2</f>
        <v>Type</v>
      </c>
      <c r="V52" s="135" t="str">
        <f>References!$G$3</f>
        <v>Stat</v>
      </c>
      <c r="W52" s="146" t="str">
        <f>References!$G$7</f>
        <v>Nb</v>
      </c>
      <c r="X52" s="182" t="str">
        <f>References!$G$8</f>
        <v>Turns</v>
      </c>
      <c r="Z52" s="133" t="str">
        <f>References!$G$2</f>
        <v>Type</v>
      </c>
      <c r="AA52" s="135" t="str">
        <f>References!$G$3</f>
        <v>Stat</v>
      </c>
      <c r="AB52" s="146" t="str">
        <f>References!$G$7</f>
        <v>Nb</v>
      </c>
      <c r="AC52" s="182" t="str">
        <f>References!$G$8</f>
        <v>Turns</v>
      </c>
    </row>
    <row r="53" spans="1:29" ht="16.5" thickBot="1" x14ac:dyDescent="0.3">
      <c r="A53" s="127" t="str">
        <f>References!$C$2</f>
        <v>Direct</v>
      </c>
      <c r="B53" s="143" t="str">
        <f>References!$A$2</f>
        <v>dmg</v>
      </c>
      <c r="C53" s="144">
        <v>5</v>
      </c>
      <c r="D53" s="145"/>
      <c r="F53" s="129" t="str">
        <f>References!$C$2</f>
        <v>Direct</v>
      </c>
      <c r="G53" s="139" t="str">
        <f>References!$A$5</f>
        <v>def</v>
      </c>
      <c r="H53" s="141">
        <v>2</v>
      </c>
      <c r="I53" s="175"/>
      <c r="K53" s="127" t="str">
        <f>References!$C$2</f>
        <v>Direct</v>
      </c>
      <c r="L53" s="143" t="str">
        <f>References!$A$2</f>
        <v>dmg</v>
      </c>
      <c r="M53" s="144">
        <v>6</v>
      </c>
      <c r="N53" s="172"/>
      <c r="P53" s="127" t="str">
        <f>References!$C$2</f>
        <v>Direct</v>
      </c>
      <c r="Q53" s="143" t="str">
        <f>References!$A$3</f>
        <v>hp</v>
      </c>
      <c r="R53" s="144">
        <v>6</v>
      </c>
      <c r="S53" s="172"/>
      <c r="U53" s="129" t="str">
        <f>References!$C$2</f>
        <v>Direct</v>
      </c>
      <c r="V53" s="139" t="str">
        <f>References!$A$2</f>
        <v>dmg</v>
      </c>
      <c r="W53" s="141">
        <v>4</v>
      </c>
      <c r="X53" s="180"/>
      <c r="Z53" s="129" t="str">
        <f>References!$C$2</f>
        <v>Direct</v>
      </c>
      <c r="AA53" s="139" t="str">
        <f>References!$A$2</f>
        <v>dmg</v>
      </c>
      <c r="AB53" s="144">
        <v>9</v>
      </c>
      <c r="AC53" s="172"/>
    </row>
    <row r="54" spans="1:29" ht="16.5" thickBot="1" x14ac:dyDescent="0.3">
      <c r="F54" s="127" t="str">
        <f>References!$C$2</f>
        <v>Direct</v>
      </c>
      <c r="G54" s="139" t="str">
        <f>References!$A$7</f>
        <v>rtl</v>
      </c>
      <c r="H54" s="141">
        <v>2</v>
      </c>
      <c r="I54" s="145"/>
      <c r="K54" s="127" t="str">
        <f>References!$C$2</f>
        <v>Direct</v>
      </c>
      <c r="L54" s="143" t="str">
        <f>References!$A$8</f>
        <v>stun</v>
      </c>
      <c r="M54" s="141">
        <v>1</v>
      </c>
      <c r="N54" s="172"/>
      <c r="Z54" s="197" t="str">
        <f>References!$C$5</f>
        <v>SelfTemp</v>
      </c>
      <c r="AA54" s="198" t="str">
        <f>References!$A$5</f>
        <v>def</v>
      </c>
      <c r="AB54" s="199">
        <v>-2</v>
      </c>
      <c r="AC54" s="200">
        <v>1</v>
      </c>
    </row>
    <row r="55" spans="1:29" ht="16.5" thickBot="1" x14ac:dyDescent="0.3">
      <c r="F55" s="129" t="str">
        <f>References!$C$3</f>
        <v>Temp</v>
      </c>
      <c r="G55" s="139" t="str">
        <f>References!$A$5</f>
        <v>def</v>
      </c>
      <c r="H55" s="144">
        <v>2</v>
      </c>
      <c r="I55" s="142">
        <v>1</v>
      </c>
      <c r="Z55" s="13"/>
      <c r="AA55" s="13"/>
      <c r="AB55" s="156"/>
      <c r="AC55" s="156"/>
    </row>
    <row r="56" spans="1:29" ht="16.5" thickBot="1" x14ac:dyDescent="0.3">
      <c r="F56" s="129" t="str">
        <f>References!$C$3</f>
        <v>Temp</v>
      </c>
      <c r="G56" s="139" t="str">
        <f>References!$A$7</f>
        <v>rtl</v>
      </c>
      <c r="H56" s="141">
        <v>2</v>
      </c>
      <c r="I56" s="142">
        <v>1</v>
      </c>
    </row>
  </sheetData>
  <mergeCells count="189">
    <mergeCell ref="B23:C23"/>
    <mergeCell ref="D23:E23"/>
    <mergeCell ref="B17:C17"/>
    <mergeCell ref="D17:E17"/>
    <mergeCell ref="B18:C18"/>
    <mergeCell ref="D18:E18"/>
    <mergeCell ref="B19:C19"/>
    <mergeCell ref="D19:E19"/>
    <mergeCell ref="B20:C20"/>
    <mergeCell ref="D20:E20"/>
    <mergeCell ref="G17:H17"/>
    <mergeCell ref="I17:J17"/>
    <mergeCell ref="G18:H18"/>
    <mergeCell ref="I18:J18"/>
    <mergeCell ref="G19:H19"/>
    <mergeCell ref="I19:J19"/>
    <mergeCell ref="B21:C21"/>
    <mergeCell ref="D21:E21"/>
    <mergeCell ref="B22:C22"/>
    <mergeCell ref="D22:E22"/>
    <mergeCell ref="E32:F32"/>
    <mergeCell ref="E33:F33"/>
    <mergeCell ref="E34:F34"/>
    <mergeCell ref="G23:H23"/>
    <mergeCell ref="I23:J23"/>
    <mergeCell ref="E30:F30"/>
    <mergeCell ref="E31:F31"/>
    <mergeCell ref="G20:H20"/>
    <mergeCell ref="I20:J20"/>
    <mergeCell ref="G21:H21"/>
    <mergeCell ref="I21:J21"/>
    <mergeCell ref="G22:H22"/>
    <mergeCell ref="I22:J22"/>
    <mergeCell ref="W30:X30"/>
    <mergeCell ref="Y30:Z30"/>
    <mergeCell ref="W31:X31"/>
    <mergeCell ref="Y31:Z31"/>
    <mergeCell ref="W32:X32"/>
    <mergeCell ref="Y32:Z32"/>
    <mergeCell ref="W33:X33"/>
    <mergeCell ref="Y33:Z33"/>
    <mergeCell ref="M33:N33"/>
    <mergeCell ref="O33:P33"/>
    <mergeCell ref="M30:N30"/>
    <mergeCell ref="O30:P30"/>
    <mergeCell ref="M31:N31"/>
    <mergeCell ref="O31:P31"/>
    <mergeCell ref="M32:N32"/>
    <mergeCell ref="O32:P32"/>
    <mergeCell ref="A46:B46"/>
    <mergeCell ref="C46:D46"/>
    <mergeCell ref="A47:B47"/>
    <mergeCell ref="C47:D47"/>
    <mergeCell ref="W34:X34"/>
    <mergeCell ref="Y34:Z34"/>
    <mergeCell ref="W35:X35"/>
    <mergeCell ref="Y35:Z35"/>
    <mergeCell ref="W36:X36"/>
    <mergeCell ref="Y36:Z36"/>
    <mergeCell ref="M36:N36"/>
    <mergeCell ref="O36:P36"/>
    <mergeCell ref="M34:N34"/>
    <mergeCell ref="O34:P34"/>
    <mergeCell ref="M35:N35"/>
    <mergeCell ref="O35:P35"/>
    <mergeCell ref="E35:F35"/>
    <mergeCell ref="E36:F36"/>
    <mergeCell ref="F49:G49"/>
    <mergeCell ref="H49:I49"/>
    <mergeCell ref="F50:G50"/>
    <mergeCell ref="H50:I50"/>
    <mergeCell ref="F51:G51"/>
    <mergeCell ref="H51:I51"/>
    <mergeCell ref="A51:B51"/>
    <mergeCell ref="C51:D51"/>
    <mergeCell ref="F45:G45"/>
    <mergeCell ref="H45:I45"/>
    <mergeCell ref="F46:G46"/>
    <mergeCell ref="H46:I46"/>
    <mergeCell ref="F47:G47"/>
    <mergeCell ref="H47:I47"/>
    <mergeCell ref="F48:G48"/>
    <mergeCell ref="H48:I48"/>
    <mergeCell ref="A48:B48"/>
    <mergeCell ref="C48:D48"/>
    <mergeCell ref="A49:B49"/>
    <mergeCell ref="C49:D49"/>
    <mergeCell ref="A50:B50"/>
    <mergeCell ref="C50:D50"/>
    <mergeCell ref="A45:B45"/>
    <mergeCell ref="C45:D45"/>
    <mergeCell ref="K51:L51"/>
    <mergeCell ref="M51:N51"/>
    <mergeCell ref="P45:Q45"/>
    <mergeCell ref="R45:S45"/>
    <mergeCell ref="P46:Q46"/>
    <mergeCell ref="R46:S46"/>
    <mergeCell ref="P47:Q47"/>
    <mergeCell ref="R47:S47"/>
    <mergeCell ref="P48:Q48"/>
    <mergeCell ref="R48:S48"/>
    <mergeCell ref="K48:L48"/>
    <mergeCell ref="M48:N48"/>
    <mergeCell ref="K49:L49"/>
    <mergeCell ref="M49:N49"/>
    <mergeCell ref="K50:L50"/>
    <mergeCell ref="M50:N50"/>
    <mergeCell ref="K45:L45"/>
    <mergeCell ref="M45:N45"/>
    <mergeCell ref="K46:L46"/>
    <mergeCell ref="M46:N46"/>
    <mergeCell ref="K47:L47"/>
    <mergeCell ref="M47:N47"/>
    <mergeCell ref="U46:V46"/>
    <mergeCell ref="W46:X46"/>
    <mergeCell ref="U47:V47"/>
    <mergeCell ref="W47:X47"/>
    <mergeCell ref="P49:Q49"/>
    <mergeCell ref="R49:S49"/>
    <mergeCell ref="P50:Q50"/>
    <mergeCell ref="R50:S50"/>
    <mergeCell ref="P51:Q51"/>
    <mergeCell ref="R51:S51"/>
    <mergeCell ref="Z49:AA49"/>
    <mergeCell ref="AB49:AC49"/>
    <mergeCell ref="Z50:AA50"/>
    <mergeCell ref="AB50:AC50"/>
    <mergeCell ref="Z51:AA51"/>
    <mergeCell ref="AB51:AC51"/>
    <mergeCell ref="U51:V51"/>
    <mergeCell ref="W51:X51"/>
    <mergeCell ref="Z45:AA45"/>
    <mergeCell ref="AB45:AC45"/>
    <mergeCell ref="Z46:AA46"/>
    <mergeCell ref="AB46:AC46"/>
    <mergeCell ref="Z47:AA47"/>
    <mergeCell ref="AB47:AC47"/>
    <mergeCell ref="Z48:AA48"/>
    <mergeCell ref="AB48:AC48"/>
    <mergeCell ref="U48:V48"/>
    <mergeCell ref="W48:X48"/>
    <mergeCell ref="U49:V49"/>
    <mergeCell ref="W49:X49"/>
    <mergeCell ref="U50:V50"/>
    <mergeCell ref="W50:X50"/>
    <mergeCell ref="U45:V45"/>
    <mergeCell ref="W45:X45"/>
    <mergeCell ref="G3:H3"/>
    <mergeCell ref="I3:J3"/>
    <mergeCell ref="L3:M3"/>
    <mergeCell ref="N3:O3"/>
    <mergeCell ref="B4:C4"/>
    <mergeCell ref="D4:E4"/>
    <mergeCell ref="G4:H4"/>
    <mergeCell ref="I4:J4"/>
    <mergeCell ref="L4:M4"/>
    <mergeCell ref="N4:O4"/>
    <mergeCell ref="B3:C3"/>
    <mergeCell ref="D3:E3"/>
    <mergeCell ref="B7:C7"/>
    <mergeCell ref="D7:E7"/>
    <mergeCell ref="G7:H7"/>
    <mergeCell ref="I7:J7"/>
    <mergeCell ref="L7:M7"/>
    <mergeCell ref="N7:O7"/>
    <mergeCell ref="G5:H5"/>
    <mergeCell ref="I5:J5"/>
    <mergeCell ref="L5:M5"/>
    <mergeCell ref="N5:O5"/>
    <mergeCell ref="B6:C6"/>
    <mergeCell ref="D6:E6"/>
    <mergeCell ref="G6:H6"/>
    <mergeCell ref="I6:J6"/>
    <mergeCell ref="L6:M6"/>
    <mergeCell ref="N6:O6"/>
    <mergeCell ref="B5:C5"/>
    <mergeCell ref="D5:E5"/>
    <mergeCell ref="B9:C9"/>
    <mergeCell ref="D9:E9"/>
    <mergeCell ref="G9:H9"/>
    <mergeCell ref="I9:J9"/>
    <mergeCell ref="L9:M9"/>
    <mergeCell ref="N9:O9"/>
    <mergeCell ref="B8:C8"/>
    <mergeCell ref="D8:E8"/>
    <mergeCell ref="G8:H8"/>
    <mergeCell ref="I8:J8"/>
    <mergeCell ref="L8:M8"/>
    <mergeCell ref="N8:O8"/>
  </mergeCells>
  <pageMargins left="0" right="0" top="0" bottom="0" header="0" footer="0"/>
  <pageSetup scale="5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6FA0F-70D5-41BA-8C1F-F20BFB89FC98}">
  <sheetPr>
    <pageSetUpPr fitToPage="1"/>
  </sheetPr>
  <dimension ref="A1:AM63"/>
  <sheetViews>
    <sheetView topLeftCell="A7" workbookViewId="0">
      <selection activeCell="I19" sqref="I19"/>
    </sheetView>
  </sheetViews>
  <sheetFormatPr defaultRowHeight="15" x14ac:dyDescent="0.25"/>
  <cols>
    <col min="1" max="1" width="9.7109375" bestFit="1" customWidth="1"/>
    <col min="2" max="2" width="4.85546875" bestFit="1" customWidth="1"/>
    <col min="3" max="3" width="3.5703125" bestFit="1" customWidth="1"/>
    <col min="4" max="4" width="5.85546875" bestFit="1" customWidth="1"/>
    <col min="5" max="5" width="6.5703125" bestFit="1" customWidth="1"/>
    <col min="6" max="7" width="8.140625" customWidth="1"/>
    <col min="8" max="8" width="8.28515625" customWidth="1"/>
    <col min="9" max="9" width="5.85546875" bestFit="1" customWidth="1"/>
    <col min="10" max="10" width="6.5703125" style="126" bestFit="1" customWidth="1"/>
    <col min="11" max="12" width="1.28515625" style="126" customWidth="1"/>
    <col min="13" max="13" width="1.42578125" customWidth="1"/>
    <col min="14" max="14" width="9.7109375" bestFit="1" customWidth="1"/>
    <col min="15" max="15" width="4.85546875" bestFit="1" customWidth="1"/>
    <col min="16" max="16" width="3.5703125" bestFit="1" customWidth="1"/>
    <col min="17" max="17" width="5.85546875" bestFit="1" customWidth="1"/>
    <col min="18" max="18" width="6.5703125" bestFit="1" customWidth="1"/>
    <col min="21" max="21" width="4.85546875" customWidth="1"/>
    <col min="22" max="22" width="5.85546875" bestFit="1" customWidth="1"/>
    <col min="23" max="23" width="6.5703125" bestFit="1" customWidth="1"/>
    <col min="24" max="24" width="1.42578125" customWidth="1"/>
    <col min="25" max="25" width="1.28515625" customWidth="1"/>
    <col min="26" max="26" width="1.42578125" customWidth="1"/>
    <col min="27" max="27" width="9.42578125" bestFit="1" customWidth="1"/>
    <col min="28" max="28" width="4.85546875" bestFit="1" customWidth="1"/>
    <col min="29" max="29" width="3.5703125" bestFit="1" customWidth="1"/>
    <col min="30" max="30" width="5.85546875" bestFit="1" customWidth="1"/>
    <col min="31" max="31" width="6.5703125" bestFit="1" customWidth="1"/>
    <col min="34" max="34" width="3.5703125" bestFit="1" customWidth="1"/>
    <col min="35" max="35" width="5.85546875" bestFit="1" customWidth="1"/>
    <col min="36" max="36" width="6.5703125" bestFit="1" customWidth="1"/>
  </cols>
  <sheetData>
    <row r="1" spans="1:36" ht="28.5" x14ac:dyDescent="0.45">
      <c r="A1" s="237" t="s">
        <v>81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  <c r="Y1" s="237"/>
      <c r="Z1" s="237"/>
      <c r="AA1" s="237"/>
      <c r="AB1" s="237"/>
      <c r="AC1" s="237"/>
      <c r="AD1" s="237"/>
      <c r="AE1" s="237"/>
      <c r="AF1" s="237"/>
      <c r="AG1" s="237"/>
      <c r="AH1" s="237"/>
      <c r="AI1" s="237"/>
      <c r="AJ1" s="237"/>
    </row>
    <row r="2" spans="1:36" ht="15.75" thickBot="1" x14ac:dyDescent="0.3"/>
    <row r="3" spans="1:36" ht="15.75" x14ac:dyDescent="0.25">
      <c r="E3" s="224" t="str">
        <f>References!$F$2</f>
        <v>Name</v>
      </c>
      <c r="F3" s="225"/>
      <c r="G3" s="222" t="s">
        <v>4</v>
      </c>
      <c r="H3" s="223"/>
      <c r="R3" s="224" t="str">
        <f>References!$F$2</f>
        <v>Name</v>
      </c>
      <c r="S3" s="225"/>
      <c r="T3" s="222" t="s">
        <v>0</v>
      </c>
      <c r="U3" s="223"/>
      <c r="W3" s="126"/>
      <c r="X3" s="126"/>
      <c r="Y3" s="126"/>
      <c r="AE3" s="224" t="str">
        <f>References!$F$2</f>
        <v>Name</v>
      </c>
      <c r="AF3" s="225"/>
      <c r="AG3" s="222" t="s">
        <v>3</v>
      </c>
      <c r="AH3" s="223"/>
      <c r="AJ3" s="126"/>
    </row>
    <row r="4" spans="1:36" ht="15.75" x14ac:dyDescent="0.25">
      <c r="E4" s="212" t="str">
        <f>References!$F$3</f>
        <v>Class</v>
      </c>
      <c r="F4" s="213"/>
      <c r="G4" s="218" t="str">
        <f>References!$E$2</f>
        <v>Creature</v>
      </c>
      <c r="H4" s="219"/>
      <c r="R4" s="212" t="str">
        <f>References!$F$3</f>
        <v>Class</v>
      </c>
      <c r="S4" s="213"/>
      <c r="T4" s="218" t="str">
        <f>References!$E$2</f>
        <v>Creature</v>
      </c>
      <c r="U4" s="219"/>
      <c r="W4" s="126"/>
      <c r="X4" s="126"/>
      <c r="Y4" s="126"/>
      <c r="AE4" s="212" t="str">
        <f>References!$F$3</f>
        <v>Class</v>
      </c>
      <c r="AF4" s="213"/>
      <c r="AG4" s="218" t="str">
        <f>References!$E$2</f>
        <v>Creature</v>
      </c>
      <c r="AH4" s="219"/>
      <c r="AJ4" s="126"/>
    </row>
    <row r="5" spans="1:36" ht="15.75" x14ac:dyDescent="0.25">
      <c r="E5" s="212" t="str">
        <f>References!$F$4</f>
        <v>Type</v>
      </c>
      <c r="F5" s="213"/>
      <c r="G5" s="229"/>
      <c r="H5" s="234"/>
      <c r="R5" s="212" t="str">
        <f>References!$F$4</f>
        <v>Type</v>
      </c>
      <c r="S5" s="213"/>
      <c r="T5" s="218" t="str">
        <f>References!$B$2</f>
        <v>Offensive</v>
      </c>
      <c r="U5" s="219"/>
      <c r="W5" s="126"/>
      <c r="X5" s="126"/>
      <c r="Y5" s="126"/>
      <c r="AE5" s="212" t="str">
        <f>References!$F$4</f>
        <v>Type</v>
      </c>
      <c r="AF5" s="213"/>
      <c r="AG5" s="218" t="str">
        <f>References!$B$2</f>
        <v>Offensive</v>
      </c>
      <c r="AH5" s="219"/>
      <c r="AJ5" s="126"/>
    </row>
    <row r="6" spans="1:36" ht="15.75" x14ac:dyDescent="0.25">
      <c r="E6" s="212" t="str">
        <f>References!$F$5</f>
        <v>Nb. Targets</v>
      </c>
      <c r="F6" s="213"/>
      <c r="G6" s="229"/>
      <c r="H6" s="234"/>
      <c r="R6" s="212" t="str">
        <f>References!$F$5</f>
        <v>Nb. Targets</v>
      </c>
      <c r="S6" s="213"/>
      <c r="T6" s="218">
        <v>1</v>
      </c>
      <c r="U6" s="219"/>
      <c r="W6" s="126"/>
      <c r="X6" s="126"/>
      <c r="Y6" s="126"/>
      <c r="AE6" s="212" t="str">
        <f>References!$F$5</f>
        <v>Nb. Targets</v>
      </c>
      <c r="AF6" s="213"/>
      <c r="AG6" s="218">
        <v>1</v>
      </c>
      <c r="AH6" s="219"/>
      <c r="AJ6" s="126"/>
    </row>
    <row r="7" spans="1:36" ht="16.5" thickBot="1" x14ac:dyDescent="0.3">
      <c r="E7" s="214" t="str">
        <f>References!$F$6</f>
        <v>Energy cost</v>
      </c>
      <c r="F7" s="215"/>
      <c r="G7" s="216">
        <v>0</v>
      </c>
      <c r="H7" s="217"/>
      <c r="R7" s="214" t="str">
        <f>References!$F$6</f>
        <v>Energy cost</v>
      </c>
      <c r="S7" s="215"/>
      <c r="T7" s="216">
        <v>1</v>
      </c>
      <c r="U7" s="217"/>
      <c r="W7" s="126"/>
      <c r="X7" s="126"/>
      <c r="Y7" s="126"/>
      <c r="AE7" s="214" t="str">
        <f>References!$F$6</f>
        <v>Energy cost</v>
      </c>
      <c r="AF7" s="215"/>
      <c r="AG7" s="216">
        <v>2</v>
      </c>
      <c r="AH7" s="217"/>
      <c r="AJ7" s="126"/>
    </row>
    <row r="8" spans="1:36" ht="16.5" thickBot="1" x14ac:dyDescent="0.3">
      <c r="A8" s="13"/>
      <c r="B8" s="13"/>
      <c r="C8" s="13"/>
      <c r="D8" s="13"/>
      <c r="E8" s="154"/>
      <c r="F8" s="156"/>
      <c r="G8" s="156"/>
      <c r="H8" s="13"/>
      <c r="I8" s="13"/>
      <c r="J8" s="154"/>
      <c r="N8" s="13"/>
      <c r="O8" s="13"/>
      <c r="P8" s="13"/>
      <c r="Q8" s="13"/>
      <c r="R8" s="154"/>
      <c r="S8" s="156"/>
      <c r="T8" s="156"/>
      <c r="U8" s="13"/>
      <c r="V8" s="13"/>
      <c r="W8" s="154"/>
      <c r="X8" s="126"/>
      <c r="Y8" s="126"/>
      <c r="AA8" s="13"/>
      <c r="AB8" s="13"/>
      <c r="AC8" s="13"/>
      <c r="AD8" s="13"/>
      <c r="AE8" s="154"/>
      <c r="AF8" s="156"/>
      <c r="AG8" s="156"/>
      <c r="AH8" s="13"/>
      <c r="AI8" s="13"/>
      <c r="AJ8" s="154"/>
    </row>
    <row r="9" spans="1:36" ht="16.5" thickBot="1" x14ac:dyDescent="0.3">
      <c r="A9" s="133" t="str">
        <f>References!$G$2</f>
        <v>Type</v>
      </c>
      <c r="B9" s="135" t="str">
        <f>References!$G$3</f>
        <v>Stat</v>
      </c>
      <c r="C9" s="133" t="str">
        <f>References!$G$4</f>
        <v>Nb</v>
      </c>
      <c r="D9" s="131" t="str">
        <f>References!$G$5</f>
        <v>Turns</v>
      </c>
      <c r="E9" s="132" t="str">
        <f>References!$G$6</f>
        <v>%</v>
      </c>
      <c r="F9" s="146" t="str">
        <f>References!$G$7</f>
        <v>Nb</v>
      </c>
      <c r="G9" s="147" t="str">
        <f>References!$G$8</f>
        <v>Turns</v>
      </c>
      <c r="H9" s="133" t="str">
        <f>References!$G$9</f>
        <v>Nb</v>
      </c>
      <c r="I9" s="131" t="str">
        <f>References!$G$10</f>
        <v>Turns</v>
      </c>
      <c r="J9" s="132" t="str">
        <f>References!$G$11</f>
        <v>%</v>
      </c>
      <c r="K9" s="155"/>
      <c r="L9" s="155"/>
      <c r="N9" s="133" t="str">
        <f>References!$G$2</f>
        <v>Type</v>
      </c>
      <c r="O9" s="135" t="str">
        <f>References!$G$3</f>
        <v>Stat</v>
      </c>
      <c r="P9" s="133" t="str">
        <f>References!$G$4</f>
        <v>Nb</v>
      </c>
      <c r="Q9" s="131" t="str">
        <f>References!$G$5</f>
        <v>Turns</v>
      </c>
      <c r="R9" s="132" t="str">
        <f>References!$G$6</f>
        <v>%</v>
      </c>
      <c r="S9" s="146" t="str">
        <f>References!$G$7</f>
        <v>Nb</v>
      </c>
      <c r="T9" s="147" t="str">
        <f>References!$G$8</f>
        <v>Turns</v>
      </c>
      <c r="U9" s="133" t="str">
        <f>References!$G$9</f>
        <v>Nb</v>
      </c>
      <c r="V9" s="131" t="str">
        <f>References!$G$10</f>
        <v>Turns</v>
      </c>
      <c r="W9" s="132" t="str">
        <f>References!$G$11</f>
        <v>%</v>
      </c>
      <c r="X9" s="155"/>
      <c r="Y9" s="155"/>
      <c r="Z9" s="18"/>
      <c r="AA9" s="133" t="str">
        <f>References!$G$2</f>
        <v>Type</v>
      </c>
      <c r="AB9" s="135" t="str">
        <f>References!$G$3</f>
        <v>Stat</v>
      </c>
      <c r="AC9" s="133" t="str">
        <f>References!$G$4</f>
        <v>Nb</v>
      </c>
      <c r="AD9" s="131" t="str">
        <f>References!$G$5</f>
        <v>Turns</v>
      </c>
      <c r="AE9" s="132" t="str">
        <f>References!$G$6</f>
        <v>%</v>
      </c>
      <c r="AF9" s="146" t="str">
        <f>References!$G$7</f>
        <v>Nb</v>
      </c>
      <c r="AG9" s="147" t="str">
        <f>References!$G$8</f>
        <v>Turns</v>
      </c>
      <c r="AH9" s="133" t="str">
        <f>References!$G$9</f>
        <v>Nb</v>
      </c>
      <c r="AI9" s="131" t="str">
        <f>References!$G$10</f>
        <v>Turns</v>
      </c>
      <c r="AJ9" s="132" t="str">
        <f>References!$G$11</f>
        <v>%</v>
      </c>
    </row>
    <row r="10" spans="1:36" ht="15.75" thickBot="1" x14ac:dyDescent="0.3">
      <c r="A10" s="137"/>
      <c r="B10" s="138"/>
      <c r="C10" s="240" t="str">
        <f>References!$H$2</f>
        <v>High initiative</v>
      </c>
      <c r="D10" s="241"/>
      <c r="E10" s="242"/>
      <c r="F10" s="243" t="str">
        <f>References!$H$3</f>
        <v>Standard</v>
      </c>
      <c r="G10" s="244"/>
      <c r="H10" s="245" t="str">
        <f>References!$H$4</f>
        <v>Low initiative</v>
      </c>
      <c r="I10" s="246"/>
      <c r="J10" s="247"/>
      <c r="K10" s="160"/>
      <c r="L10" s="160"/>
      <c r="N10" s="134"/>
      <c r="O10" s="136"/>
      <c r="P10" s="248" t="str">
        <f>References!$H$2</f>
        <v>High initiative</v>
      </c>
      <c r="Q10" s="249"/>
      <c r="R10" s="250"/>
      <c r="S10" s="251" t="str">
        <f>References!$H$3</f>
        <v>Standard</v>
      </c>
      <c r="T10" s="252"/>
      <c r="U10" s="253" t="str">
        <f>References!$H$4</f>
        <v>Low initiative</v>
      </c>
      <c r="V10" s="254"/>
      <c r="W10" s="255"/>
      <c r="X10" s="158"/>
      <c r="Y10" s="158"/>
      <c r="Z10" s="18"/>
      <c r="AA10" s="134"/>
      <c r="AB10" s="136"/>
      <c r="AC10" s="248" t="str">
        <f>References!$H$2</f>
        <v>High initiative</v>
      </c>
      <c r="AD10" s="249"/>
      <c r="AE10" s="250"/>
      <c r="AF10" s="251" t="str">
        <f>References!$H$3</f>
        <v>Standard</v>
      </c>
      <c r="AG10" s="252"/>
      <c r="AH10" s="253" t="str">
        <f>References!$H$4</f>
        <v>Low initiative</v>
      </c>
      <c r="AI10" s="254"/>
      <c r="AJ10" s="255"/>
    </row>
    <row r="11" spans="1:36" ht="16.5" thickBot="1" x14ac:dyDescent="0.3">
      <c r="A11" s="170"/>
      <c r="B11" s="145"/>
      <c r="C11" s="170"/>
      <c r="D11" s="145"/>
      <c r="E11" s="172"/>
      <c r="F11" s="170"/>
      <c r="G11" s="172"/>
      <c r="H11" s="173"/>
      <c r="I11" s="145"/>
      <c r="J11" s="172"/>
      <c r="K11" s="148"/>
      <c r="L11" s="148"/>
      <c r="N11" s="127" t="str">
        <f>References!$C$2</f>
        <v>Direct</v>
      </c>
      <c r="O11" s="143" t="str">
        <f>References!$A$2</f>
        <v>dmg</v>
      </c>
      <c r="P11" s="127">
        <v>1</v>
      </c>
      <c r="Q11" s="145"/>
      <c r="R11" s="128">
        <v>100</v>
      </c>
      <c r="S11" s="144">
        <v>1</v>
      </c>
      <c r="T11" s="145"/>
      <c r="U11" s="127">
        <v>2</v>
      </c>
      <c r="V11" s="145"/>
      <c r="W11" s="128">
        <v>100</v>
      </c>
      <c r="X11" s="154"/>
      <c r="Y11" s="154"/>
      <c r="Z11" s="18"/>
      <c r="AA11" s="127" t="str">
        <f>References!$C$2</f>
        <v>Direct</v>
      </c>
      <c r="AB11" s="143" t="str">
        <f>References!$A$2</f>
        <v>dmg</v>
      </c>
      <c r="AC11" s="127">
        <v>2</v>
      </c>
      <c r="AD11" s="145"/>
      <c r="AE11" s="128">
        <v>100</v>
      </c>
      <c r="AF11" s="144">
        <v>3</v>
      </c>
      <c r="AG11" s="145"/>
      <c r="AH11" s="127">
        <v>3</v>
      </c>
      <c r="AI11" s="145"/>
      <c r="AJ11" s="128">
        <v>100</v>
      </c>
    </row>
    <row r="12" spans="1:36" x14ac:dyDescent="0.25">
      <c r="K12" s="148"/>
      <c r="L12" s="148"/>
      <c r="X12" s="154"/>
      <c r="Y12" s="154"/>
      <c r="Z12" s="18"/>
    </row>
    <row r="13" spans="1:36" x14ac:dyDescent="0.25">
      <c r="X13" s="18"/>
      <c r="Y13" s="18"/>
      <c r="Z13" s="18"/>
    </row>
    <row r="14" spans="1:36" x14ac:dyDescent="0.25">
      <c r="X14" s="18"/>
      <c r="Y14" s="18"/>
      <c r="Z14" s="18"/>
    </row>
    <row r="15" spans="1:36" x14ac:dyDescent="0.25">
      <c r="X15" s="18"/>
      <c r="Y15" s="18"/>
      <c r="Z15" s="18"/>
    </row>
    <row r="16" spans="1:36" x14ac:dyDescent="0.25">
      <c r="X16" s="18"/>
      <c r="Y16" s="18"/>
      <c r="Z16" s="18"/>
    </row>
    <row r="17" spans="1:39" ht="6" customHeight="1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54"/>
      <c r="K17" s="154"/>
      <c r="L17" s="154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</row>
    <row r="18" spans="1:39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54"/>
      <c r="K18" s="154"/>
      <c r="L18" s="154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</row>
    <row r="19" spans="1:39" ht="15.75" x14ac:dyDescent="0.25">
      <c r="A19" s="13"/>
      <c r="B19" s="13"/>
      <c r="C19" s="13"/>
      <c r="D19" s="13"/>
      <c r="E19" s="238"/>
      <c r="F19" s="238"/>
      <c r="G19" s="239"/>
      <c r="H19" s="239"/>
      <c r="I19" s="13"/>
      <c r="J19" s="154"/>
      <c r="K19" s="154"/>
      <c r="L19" s="154"/>
      <c r="M19" s="13"/>
      <c r="N19" s="13"/>
      <c r="O19" s="13"/>
      <c r="P19" s="13"/>
      <c r="Q19" s="13"/>
      <c r="R19" s="238"/>
      <c r="S19" s="238"/>
      <c r="T19" s="239"/>
      <c r="U19" s="239"/>
      <c r="V19" s="13"/>
      <c r="W19" s="154"/>
      <c r="X19" s="154"/>
      <c r="Y19" s="154"/>
      <c r="Z19" s="13"/>
      <c r="AA19" s="13"/>
      <c r="AB19" s="13"/>
      <c r="AC19" s="13"/>
      <c r="AD19" s="13"/>
      <c r="AE19" s="238"/>
      <c r="AF19" s="238"/>
      <c r="AG19" s="239"/>
      <c r="AH19" s="239"/>
      <c r="AI19" s="13"/>
      <c r="AJ19" s="154"/>
      <c r="AK19" s="13"/>
      <c r="AL19" s="13"/>
      <c r="AM19" s="13"/>
    </row>
    <row r="20" spans="1:39" ht="15.75" x14ac:dyDescent="0.25">
      <c r="A20" s="13"/>
      <c r="B20" s="13"/>
      <c r="C20" s="13"/>
      <c r="D20" s="13"/>
      <c r="E20" s="238"/>
      <c r="F20" s="238"/>
      <c r="G20" s="239"/>
      <c r="H20" s="239"/>
      <c r="I20" s="13"/>
      <c r="J20" s="154"/>
      <c r="K20" s="154"/>
      <c r="L20" s="154"/>
      <c r="M20" s="13"/>
      <c r="N20" s="13"/>
      <c r="O20" s="13"/>
      <c r="P20" s="13"/>
      <c r="Q20" s="13"/>
      <c r="R20" s="238"/>
      <c r="S20" s="238"/>
      <c r="T20" s="239"/>
      <c r="U20" s="239"/>
      <c r="V20" s="13"/>
      <c r="W20" s="154"/>
      <c r="X20" s="154"/>
      <c r="Y20" s="154"/>
      <c r="Z20" s="13"/>
      <c r="AA20" s="13"/>
      <c r="AB20" s="13"/>
      <c r="AC20" s="13"/>
      <c r="AD20" s="13"/>
      <c r="AE20" s="238"/>
      <c r="AF20" s="238"/>
      <c r="AG20" s="239"/>
      <c r="AH20" s="239"/>
      <c r="AI20" s="13"/>
      <c r="AJ20" s="154"/>
      <c r="AK20" s="13"/>
      <c r="AL20" s="13"/>
      <c r="AM20" s="13"/>
    </row>
    <row r="21" spans="1:39" ht="15.75" x14ac:dyDescent="0.25">
      <c r="A21" s="13"/>
      <c r="B21" s="13"/>
      <c r="C21" s="13"/>
      <c r="D21" s="13"/>
      <c r="E21" s="238"/>
      <c r="F21" s="238"/>
      <c r="G21" s="239"/>
      <c r="H21" s="239"/>
      <c r="I21" s="13"/>
      <c r="J21" s="154"/>
      <c r="K21" s="154"/>
      <c r="L21" s="154"/>
      <c r="M21" s="13"/>
      <c r="N21" s="13"/>
      <c r="O21" s="13"/>
      <c r="P21" s="13"/>
      <c r="Q21" s="13"/>
      <c r="R21" s="238"/>
      <c r="S21" s="238"/>
      <c r="T21" s="239"/>
      <c r="U21" s="239"/>
      <c r="V21" s="13"/>
      <c r="W21" s="154"/>
      <c r="X21" s="154"/>
      <c r="Y21" s="154"/>
      <c r="Z21" s="13"/>
      <c r="AA21" s="13"/>
      <c r="AB21" s="13"/>
      <c r="AC21" s="13"/>
      <c r="AD21" s="13"/>
      <c r="AE21" s="238"/>
      <c r="AF21" s="238"/>
      <c r="AG21" s="239"/>
      <c r="AH21" s="239"/>
      <c r="AI21" s="13"/>
      <c r="AJ21" s="154"/>
      <c r="AK21" s="13"/>
      <c r="AL21" s="13"/>
      <c r="AM21" s="13"/>
    </row>
    <row r="22" spans="1:39" ht="15.75" x14ac:dyDescent="0.25">
      <c r="A22" s="13"/>
      <c r="B22" s="13"/>
      <c r="C22" s="13"/>
      <c r="D22" s="13"/>
      <c r="E22" s="238"/>
      <c r="F22" s="238"/>
      <c r="G22" s="239"/>
      <c r="H22" s="239"/>
      <c r="I22" s="13"/>
      <c r="J22" s="154"/>
      <c r="K22" s="154"/>
      <c r="L22" s="154"/>
      <c r="M22" s="13"/>
      <c r="N22" s="13"/>
      <c r="O22" s="13"/>
      <c r="P22" s="13"/>
      <c r="Q22" s="13"/>
      <c r="R22" s="238"/>
      <c r="S22" s="238"/>
      <c r="T22" s="239"/>
      <c r="U22" s="239"/>
      <c r="V22" s="13"/>
      <c r="W22" s="154"/>
      <c r="X22" s="154"/>
      <c r="Y22" s="154"/>
      <c r="Z22" s="13"/>
      <c r="AA22" s="13"/>
      <c r="AB22" s="13"/>
      <c r="AC22" s="13"/>
      <c r="AD22" s="13"/>
      <c r="AE22" s="238"/>
      <c r="AF22" s="238"/>
      <c r="AG22" s="239"/>
      <c r="AH22" s="239"/>
      <c r="AI22" s="13"/>
      <c r="AJ22" s="154"/>
      <c r="AK22" s="13"/>
      <c r="AL22" s="13"/>
      <c r="AM22" s="13"/>
    </row>
    <row r="23" spans="1:39" ht="15.75" x14ac:dyDescent="0.25">
      <c r="A23" s="13"/>
      <c r="B23" s="13"/>
      <c r="C23" s="13"/>
      <c r="D23" s="13"/>
      <c r="E23" s="238"/>
      <c r="F23" s="238"/>
      <c r="G23" s="239"/>
      <c r="H23" s="239"/>
      <c r="I23" s="13"/>
      <c r="J23" s="154"/>
      <c r="K23" s="154"/>
      <c r="L23" s="154"/>
      <c r="M23" s="13"/>
      <c r="N23" s="13"/>
      <c r="O23" s="13"/>
      <c r="P23" s="13"/>
      <c r="Q23" s="13"/>
      <c r="R23" s="238"/>
      <c r="S23" s="238"/>
      <c r="T23" s="239"/>
      <c r="U23" s="239"/>
      <c r="V23" s="13"/>
      <c r="W23" s="154"/>
      <c r="X23" s="154"/>
      <c r="Y23" s="154"/>
      <c r="Z23" s="13"/>
      <c r="AA23" s="13"/>
      <c r="AB23" s="13"/>
      <c r="AC23" s="13"/>
      <c r="AD23" s="13"/>
      <c r="AE23" s="238"/>
      <c r="AF23" s="238"/>
      <c r="AG23" s="239"/>
      <c r="AH23" s="239"/>
      <c r="AI23" s="13"/>
      <c r="AJ23" s="154"/>
      <c r="AK23" s="13"/>
      <c r="AL23" s="13"/>
      <c r="AM23" s="13"/>
    </row>
    <row r="24" spans="1:39" ht="15.75" x14ac:dyDescent="0.25">
      <c r="A24" s="13"/>
      <c r="B24" s="13"/>
      <c r="C24" s="13"/>
      <c r="D24" s="13"/>
      <c r="E24" s="154"/>
      <c r="F24" s="156"/>
      <c r="G24" s="156"/>
      <c r="H24" s="13"/>
      <c r="I24" s="13"/>
      <c r="J24" s="154"/>
      <c r="K24" s="154"/>
      <c r="L24" s="154"/>
      <c r="M24" s="13"/>
      <c r="N24" s="13"/>
      <c r="O24" s="13"/>
      <c r="P24" s="13"/>
      <c r="Q24" s="13"/>
      <c r="R24" s="154"/>
      <c r="S24" s="156"/>
      <c r="T24" s="156"/>
      <c r="U24" s="13"/>
      <c r="V24" s="13"/>
      <c r="W24" s="154"/>
      <c r="X24" s="154"/>
      <c r="Y24" s="154"/>
      <c r="Z24" s="13"/>
      <c r="AA24" s="13"/>
      <c r="AB24" s="13"/>
      <c r="AC24" s="13"/>
      <c r="AD24" s="13"/>
      <c r="AE24" s="154"/>
      <c r="AF24" s="156"/>
      <c r="AG24" s="156"/>
      <c r="AH24" s="13"/>
      <c r="AI24" s="13"/>
      <c r="AJ24" s="154"/>
      <c r="AK24" s="13"/>
      <c r="AL24" s="13"/>
      <c r="AM24" s="13"/>
    </row>
    <row r="25" spans="1:39" ht="15.75" x14ac:dyDescent="0.25">
      <c r="A25" s="152"/>
      <c r="B25" s="152"/>
      <c r="C25" s="152"/>
      <c r="D25" s="152"/>
      <c r="E25" s="155"/>
      <c r="F25" s="156"/>
      <c r="G25" s="156"/>
      <c r="H25" s="152"/>
      <c r="I25" s="152"/>
      <c r="J25" s="155"/>
      <c r="K25" s="155"/>
      <c r="L25" s="155"/>
      <c r="M25" s="13"/>
      <c r="N25" s="152"/>
      <c r="O25" s="152"/>
      <c r="P25" s="152"/>
      <c r="Q25" s="152"/>
      <c r="R25" s="155"/>
      <c r="S25" s="156"/>
      <c r="T25" s="156"/>
      <c r="U25" s="152"/>
      <c r="V25" s="152"/>
      <c r="W25" s="155"/>
      <c r="X25" s="155"/>
      <c r="Y25" s="155"/>
      <c r="Z25" s="13"/>
      <c r="AA25" s="152"/>
      <c r="AB25" s="152"/>
      <c r="AC25" s="152"/>
      <c r="AD25" s="152"/>
      <c r="AE25" s="155"/>
      <c r="AF25" s="156"/>
      <c r="AG25" s="156"/>
      <c r="AH25" s="152"/>
      <c r="AI25" s="152"/>
      <c r="AJ25" s="155"/>
      <c r="AK25" s="13"/>
      <c r="AL25" s="13"/>
      <c r="AM25" s="13"/>
    </row>
    <row r="26" spans="1:39" x14ac:dyDescent="0.25">
      <c r="A26" s="157"/>
      <c r="B26" s="157"/>
      <c r="C26" s="256"/>
      <c r="D26" s="256"/>
      <c r="E26" s="256"/>
      <c r="F26" s="257"/>
      <c r="G26" s="257"/>
      <c r="H26" s="256"/>
      <c r="I26" s="256"/>
      <c r="J26" s="256"/>
      <c r="K26" s="158"/>
      <c r="L26" s="158"/>
      <c r="M26" s="13"/>
      <c r="N26" s="157"/>
      <c r="O26" s="157"/>
      <c r="P26" s="256"/>
      <c r="Q26" s="256"/>
      <c r="R26" s="256"/>
      <c r="S26" s="257"/>
      <c r="T26" s="257"/>
      <c r="U26" s="256"/>
      <c r="V26" s="256"/>
      <c r="W26" s="256"/>
      <c r="X26" s="158"/>
      <c r="Y26" s="158"/>
      <c r="Z26" s="13"/>
      <c r="AA26" s="157"/>
      <c r="AB26" s="157"/>
      <c r="AC26" s="256"/>
      <c r="AD26" s="256"/>
      <c r="AE26" s="256"/>
      <c r="AF26" s="257"/>
      <c r="AG26" s="257"/>
      <c r="AH26" s="256"/>
      <c r="AI26" s="256"/>
      <c r="AJ26" s="256"/>
      <c r="AK26" s="13"/>
      <c r="AL26" s="13"/>
      <c r="AM26" s="13"/>
    </row>
    <row r="27" spans="1:39" ht="15.75" x14ac:dyDescent="0.25">
      <c r="A27" s="13"/>
      <c r="B27" s="13"/>
      <c r="C27" s="13"/>
      <c r="D27" s="156"/>
      <c r="E27" s="154"/>
      <c r="F27" s="156"/>
      <c r="G27" s="156"/>
      <c r="H27" s="13"/>
      <c r="I27" s="156"/>
      <c r="J27" s="154"/>
      <c r="K27" s="154"/>
      <c r="L27" s="154"/>
      <c r="M27" s="13"/>
      <c r="N27" s="13"/>
      <c r="O27" s="13"/>
      <c r="P27" s="13"/>
      <c r="Q27" s="156"/>
      <c r="R27" s="154"/>
      <c r="S27" s="156"/>
      <c r="T27" s="156"/>
      <c r="U27" s="13"/>
      <c r="V27" s="156"/>
      <c r="W27" s="154"/>
      <c r="X27" s="154"/>
      <c r="Y27" s="154"/>
      <c r="Z27" s="13"/>
      <c r="AA27" s="13"/>
      <c r="AB27" s="13"/>
      <c r="AC27" s="13"/>
      <c r="AD27" s="156"/>
      <c r="AE27" s="154"/>
      <c r="AF27" s="156"/>
      <c r="AG27" s="156"/>
      <c r="AH27" s="13"/>
      <c r="AI27" s="156"/>
      <c r="AJ27" s="154"/>
      <c r="AK27" s="13"/>
      <c r="AL27" s="13"/>
      <c r="AM27" s="13"/>
    </row>
    <row r="28" spans="1:39" ht="15.75" x14ac:dyDescent="0.25">
      <c r="A28" s="13"/>
      <c r="B28" s="13"/>
      <c r="C28" s="13"/>
      <c r="D28" s="13"/>
      <c r="E28" s="154"/>
      <c r="F28" s="156"/>
      <c r="G28" s="156"/>
      <c r="H28" s="13"/>
      <c r="I28" s="13"/>
      <c r="J28" s="154"/>
      <c r="K28" s="154"/>
      <c r="L28" s="154"/>
      <c r="M28" s="13"/>
      <c r="N28" s="13"/>
      <c r="O28" s="13"/>
      <c r="P28" s="13"/>
      <c r="Q28" s="156"/>
      <c r="R28" s="154"/>
      <c r="S28" s="156"/>
      <c r="T28" s="156"/>
      <c r="U28" s="13"/>
      <c r="V28" s="156"/>
      <c r="W28" s="154"/>
      <c r="X28" s="154"/>
      <c r="Y28" s="154"/>
      <c r="Z28" s="13"/>
      <c r="AA28" s="13"/>
      <c r="AB28" s="13"/>
      <c r="AC28" s="13"/>
      <c r="AD28" s="13"/>
      <c r="AE28" s="154"/>
      <c r="AF28" s="156"/>
      <c r="AG28" s="156"/>
      <c r="AH28" s="13"/>
      <c r="AI28" s="13"/>
      <c r="AJ28" s="154"/>
      <c r="AK28" s="13"/>
      <c r="AL28" s="13"/>
      <c r="AM28" s="13"/>
    </row>
    <row r="29" spans="1:39" ht="15.75" x14ac:dyDescent="0.25">
      <c r="A29" s="13"/>
      <c r="B29" s="13"/>
      <c r="C29" s="13"/>
      <c r="D29" s="13"/>
      <c r="E29" s="154"/>
      <c r="F29" s="156"/>
      <c r="G29" s="156"/>
      <c r="H29" s="13"/>
      <c r="I29" s="13"/>
      <c r="J29" s="154"/>
      <c r="K29" s="154"/>
      <c r="L29" s="154"/>
      <c r="M29" s="13"/>
      <c r="N29" s="13"/>
      <c r="O29" s="13"/>
      <c r="P29" s="13"/>
      <c r="Q29" s="13"/>
      <c r="R29" s="154"/>
      <c r="S29" s="156"/>
      <c r="T29" s="156"/>
      <c r="U29" s="13"/>
      <c r="V29" s="13"/>
      <c r="W29" s="154"/>
      <c r="X29" s="154"/>
      <c r="Y29" s="154"/>
      <c r="Z29" s="13"/>
      <c r="AA29" s="13"/>
      <c r="AB29" s="13"/>
      <c r="AC29" s="13"/>
      <c r="AD29" s="13"/>
      <c r="AE29" s="154"/>
      <c r="AF29" s="156"/>
      <c r="AG29" s="156"/>
      <c r="AH29" s="13"/>
      <c r="AI29" s="13"/>
      <c r="AJ29" s="154"/>
      <c r="AK29" s="13"/>
      <c r="AL29" s="13"/>
      <c r="AM29" s="13"/>
    </row>
    <row r="30" spans="1:39" ht="15.75" x14ac:dyDescent="0.25">
      <c r="A30" s="13"/>
      <c r="B30" s="13"/>
      <c r="C30" s="13"/>
      <c r="D30" s="13"/>
      <c r="E30" s="154"/>
      <c r="F30" s="156"/>
      <c r="G30" s="156"/>
      <c r="H30" s="13"/>
      <c r="I30" s="13"/>
      <c r="J30" s="154"/>
      <c r="K30" s="154"/>
      <c r="L30" s="154"/>
      <c r="M30" s="13"/>
      <c r="N30" s="13"/>
      <c r="O30" s="13"/>
      <c r="P30" s="13"/>
      <c r="Q30" s="13"/>
      <c r="R30" s="154"/>
      <c r="S30" s="156"/>
      <c r="T30" s="156"/>
      <c r="U30" s="13"/>
      <c r="V30" s="13"/>
      <c r="W30" s="154"/>
      <c r="X30" s="154"/>
      <c r="Y30" s="154"/>
      <c r="Z30" s="13"/>
      <c r="AA30" s="13"/>
      <c r="AB30" s="13"/>
      <c r="AC30" s="13"/>
      <c r="AD30" s="13"/>
      <c r="AE30" s="154"/>
      <c r="AF30" s="156"/>
      <c r="AG30" s="156"/>
      <c r="AH30" s="13"/>
      <c r="AI30" s="13"/>
      <c r="AJ30" s="154"/>
      <c r="AK30" s="13"/>
      <c r="AL30" s="13"/>
      <c r="AM30" s="13"/>
    </row>
    <row r="31" spans="1:39" ht="15.75" x14ac:dyDescent="0.25">
      <c r="A31" s="13"/>
      <c r="B31" s="13"/>
      <c r="C31" s="13"/>
      <c r="D31" s="13"/>
      <c r="E31" s="154"/>
      <c r="F31" s="156"/>
      <c r="G31" s="156"/>
      <c r="H31" s="13"/>
      <c r="I31" s="13"/>
      <c r="J31" s="154"/>
      <c r="K31" s="154"/>
      <c r="L31" s="154"/>
      <c r="M31" s="13"/>
      <c r="N31" s="13"/>
      <c r="O31" s="13"/>
      <c r="P31" s="13"/>
      <c r="Q31" s="13"/>
      <c r="R31" s="154"/>
      <c r="S31" s="156"/>
      <c r="T31" s="156"/>
      <c r="U31" s="13"/>
      <c r="V31" s="13"/>
      <c r="W31" s="154"/>
      <c r="X31" s="154"/>
      <c r="Y31" s="154"/>
      <c r="Z31" s="13"/>
      <c r="AA31" s="13"/>
      <c r="AB31" s="13"/>
      <c r="AC31" s="13"/>
      <c r="AD31" s="13"/>
      <c r="AE31" s="154"/>
      <c r="AF31" s="156"/>
      <c r="AG31" s="156"/>
      <c r="AH31" s="13"/>
      <c r="AI31" s="13"/>
      <c r="AJ31" s="154"/>
      <c r="AK31" s="13"/>
      <c r="AL31" s="13"/>
      <c r="AM31" s="13"/>
    </row>
    <row r="32" spans="1:39" ht="15.75" x14ac:dyDescent="0.25">
      <c r="A32" s="13"/>
      <c r="B32" s="13"/>
      <c r="C32" s="13"/>
      <c r="D32" s="13"/>
      <c r="E32" s="154"/>
      <c r="F32" s="156"/>
      <c r="G32" s="156"/>
      <c r="H32" s="13"/>
      <c r="I32" s="13"/>
      <c r="J32" s="154"/>
      <c r="K32" s="154"/>
      <c r="L32" s="154"/>
      <c r="M32" s="13"/>
      <c r="N32" s="13"/>
      <c r="O32" s="13"/>
      <c r="P32" s="13"/>
      <c r="Q32" s="13"/>
      <c r="R32" s="154"/>
      <c r="S32" s="156"/>
      <c r="T32" s="156"/>
      <c r="U32" s="13"/>
      <c r="V32" s="13"/>
      <c r="W32" s="154"/>
      <c r="X32" s="154"/>
      <c r="Y32" s="154"/>
      <c r="Z32" s="13"/>
      <c r="AA32" s="13"/>
      <c r="AB32" s="13"/>
      <c r="AC32" s="13"/>
      <c r="AD32" s="13"/>
      <c r="AE32" s="154"/>
      <c r="AF32" s="156"/>
      <c r="AG32" s="156"/>
      <c r="AH32" s="13"/>
      <c r="AI32" s="13"/>
      <c r="AJ32" s="154"/>
      <c r="AK32" s="13"/>
      <c r="AL32" s="13"/>
      <c r="AM32" s="13"/>
    </row>
    <row r="33" spans="1:39" ht="6" customHeight="1" x14ac:dyDescent="0.25">
      <c r="A33" s="13"/>
      <c r="B33" s="13"/>
      <c r="C33" s="13"/>
      <c r="D33" s="13"/>
      <c r="E33" s="154"/>
      <c r="F33" s="156"/>
      <c r="G33" s="156"/>
      <c r="H33" s="13"/>
      <c r="I33" s="13"/>
      <c r="J33" s="154"/>
      <c r="K33" s="154"/>
      <c r="L33" s="154"/>
      <c r="M33" s="13"/>
      <c r="N33" s="13"/>
      <c r="O33" s="13"/>
      <c r="P33" s="13"/>
      <c r="Q33" s="13"/>
      <c r="R33" s="154"/>
      <c r="S33" s="156"/>
      <c r="T33" s="156"/>
      <c r="U33" s="13"/>
      <c r="V33" s="13"/>
      <c r="W33" s="154"/>
      <c r="X33" s="154"/>
      <c r="Y33" s="154"/>
      <c r="Z33" s="13"/>
      <c r="AA33" s="13"/>
      <c r="AB33" s="13"/>
      <c r="AC33" s="13"/>
      <c r="AD33" s="13"/>
      <c r="AE33" s="154"/>
      <c r="AF33" s="156"/>
      <c r="AG33" s="156"/>
      <c r="AH33" s="13"/>
      <c r="AI33" s="13"/>
      <c r="AJ33" s="154"/>
      <c r="AK33" s="13"/>
      <c r="AL33" s="13"/>
      <c r="AM33" s="13"/>
    </row>
    <row r="34" spans="1:39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54"/>
      <c r="K34" s="154"/>
      <c r="L34" s="154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</row>
    <row r="35" spans="1:39" ht="15.75" x14ac:dyDescent="0.25">
      <c r="A35" s="13"/>
      <c r="B35" s="13"/>
      <c r="C35" s="13"/>
      <c r="D35" s="13"/>
      <c r="E35" s="238"/>
      <c r="F35" s="238"/>
      <c r="G35" s="239"/>
      <c r="H35" s="239"/>
      <c r="I35" s="13"/>
      <c r="J35" s="154"/>
      <c r="K35" s="154"/>
      <c r="L35" s="154"/>
      <c r="M35" s="13"/>
      <c r="N35" s="13"/>
      <c r="O35" s="13"/>
      <c r="P35" s="13"/>
      <c r="Q35" s="13"/>
      <c r="R35" s="238"/>
      <c r="S35" s="238"/>
      <c r="T35" s="239"/>
      <c r="U35" s="239"/>
      <c r="V35" s="13"/>
      <c r="W35" s="154"/>
      <c r="X35" s="154"/>
      <c r="Y35" s="154"/>
      <c r="Z35" s="13"/>
      <c r="AA35" s="13"/>
      <c r="AB35" s="13"/>
      <c r="AC35" s="13"/>
      <c r="AD35" s="13"/>
      <c r="AE35" s="238"/>
      <c r="AF35" s="238"/>
      <c r="AG35" s="239"/>
      <c r="AH35" s="239"/>
      <c r="AI35" s="13"/>
      <c r="AJ35" s="154"/>
      <c r="AK35" s="13"/>
      <c r="AL35" s="13"/>
      <c r="AM35" s="13"/>
    </row>
    <row r="36" spans="1:39" ht="15.75" x14ac:dyDescent="0.25">
      <c r="A36" s="13"/>
      <c r="B36" s="13"/>
      <c r="C36" s="13"/>
      <c r="D36" s="13"/>
      <c r="E36" s="238"/>
      <c r="F36" s="238"/>
      <c r="G36" s="239"/>
      <c r="H36" s="239"/>
      <c r="I36" s="13"/>
      <c r="J36" s="154"/>
      <c r="K36" s="154"/>
      <c r="L36" s="154"/>
      <c r="M36" s="13"/>
      <c r="N36" s="13"/>
      <c r="O36" s="13"/>
      <c r="P36" s="13"/>
      <c r="Q36" s="13"/>
      <c r="R36" s="238"/>
      <c r="S36" s="238"/>
      <c r="T36" s="239"/>
      <c r="U36" s="239"/>
      <c r="V36" s="13"/>
      <c r="W36" s="154"/>
      <c r="X36" s="154"/>
      <c r="Y36" s="154"/>
      <c r="Z36" s="13"/>
      <c r="AA36" s="13"/>
      <c r="AB36" s="13"/>
      <c r="AC36" s="13"/>
      <c r="AD36" s="13"/>
      <c r="AE36" s="238"/>
      <c r="AF36" s="238"/>
      <c r="AG36" s="239"/>
      <c r="AH36" s="239"/>
      <c r="AI36" s="13"/>
      <c r="AJ36" s="154"/>
      <c r="AK36" s="13"/>
      <c r="AL36" s="13"/>
      <c r="AM36" s="13"/>
    </row>
    <row r="37" spans="1:39" ht="15.75" x14ac:dyDescent="0.25">
      <c r="A37" s="13"/>
      <c r="B37" s="13"/>
      <c r="C37" s="13"/>
      <c r="D37" s="13"/>
      <c r="E37" s="238"/>
      <c r="F37" s="238"/>
      <c r="G37" s="239"/>
      <c r="H37" s="239"/>
      <c r="I37" s="13"/>
      <c r="J37" s="154"/>
      <c r="K37" s="154"/>
      <c r="L37" s="154"/>
      <c r="M37" s="13"/>
      <c r="N37" s="13"/>
      <c r="O37" s="13"/>
      <c r="P37" s="13"/>
      <c r="Q37" s="13"/>
      <c r="R37" s="238"/>
      <c r="S37" s="238"/>
      <c r="T37" s="239"/>
      <c r="U37" s="239"/>
      <c r="V37" s="13"/>
      <c r="W37" s="154"/>
      <c r="X37" s="154"/>
      <c r="Y37" s="154"/>
      <c r="Z37" s="13"/>
      <c r="AA37" s="13"/>
      <c r="AB37" s="13"/>
      <c r="AC37" s="13"/>
      <c r="AD37" s="13"/>
      <c r="AE37" s="238"/>
      <c r="AF37" s="238"/>
      <c r="AG37" s="239"/>
      <c r="AH37" s="239"/>
      <c r="AI37" s="13"/>
      <c r="AJ37" s="154"/>
      <c r="AK37" s="13"/>
      <c r="AL37" s="13"/>
      <c r="AM37" s="13"/>
    </row>
    <row r="38" spans="1:39" ht="15.75" x14ac:dyDescent="0.25">
      <c r="A38" s="13"/>
      <c r="B38" s="13"/>
      <c r="C38" s="13"/>
      <c r="D38" s="13"/>
      <c r="E38" s="238"/>
      <c r="F38" s="238"/>
      <c r="G38" s="239"/>
      <c r="H38" s="239"/>
      <c r="I38" s="13"/>
      <c r="J38" s="154"/>
      <c r="K38" s="154"/>
      <c r="L38" s="154"/>
      <c r="M38" s="13"/>
      <c r="N38" s="13"/>
      <c r="O38" s="13"/>
      <c r="P38" s="13"/>
      <c r="Q38" s="13"/>
      <c r="R38" s="238"/>
      <c r="S38" s="238"/>
      <c r="T38" s="239"/>
      <c r="U38" s="239"/>
      <c r="V38" s="13"/>
      <c r="W38" s="154"/>
      <c r="X38" s="154"/>
      <c r="Y38" s="154"/>
      <c r="Z38" s="13"/>
      <c r="AA38" s="13"/>
      <c r="AB38" s="13"/>
      <c r="AC38" s="13"/>
      <c r="AD38" s="13"/>
      <c r="AE38" s="238"/>
      <c r="AF38" s="238"/>
      <c r="AG38" s="239"/>
      <c r="AH38" s="239"/>
      <c r="AI38" s="13"/>
      <c r="AJ38" s="154"/>
      <c r="AK38" s="13"/>
      <c r="AL38" s="13"/>
      <c r="AM38" s="13"/>
    </row>
    <row r="39" spans="1:39" ht="15.75" x14ac:dyDescent="0.25">
      <c r="A39" s="13"/>
      <c r="B39" s="13"/>
      <c r="C39" s="13"/>
      <c r="D39" s="13"/>
      <c r="E39" s="238"/>
      <c r="F39" s="238"/>
      <c r="G39" s="239"/>
      <c r="H39" s="239"/>
      <c r="I39" s="13"/>
      <c r="J39" s="154"/>
      <c r="K39" s="154"/>
      <c r="L39" s="154"/>
      <c r="M39" s="13"/>
      <c r="N39" s="13"/>
      <c r="O39" s="13"/>
      <c r="P39" s="13"/>
      <c r="Q39" s="13"/>
      <c r="R39" s="238"/>
      <c r="S39" s="238"/>
      <c r="T39" s="239"/>
      <c r="U39" s="239"/>
      <c r="V39" s="13"/>
      <c r="W39" s="154"/>
      <c r="X39" s="154"/>
      <c r="Y39" s="154"/>
      <c r="Z39" s="13"/>
      <c r="AA39" s="13"/>
      <c r="AB39" s="13"/>
      <c r="AC39" s="13"/>
      <c r="AD39" s="13"/>
      <c r="AE39" s="238"/>
      <c r="AF39" s="238"/>
      <c r="AG39" s="239"/>
      <c r="AH39" s="239"/>
      <c r="AI39" s="13"/>
      <c r="AJ39" s="154"/>
      <c r="AK39" s="13"/>
      <c r="AL39" s="13"/>
      <c r="AM39" s="13"/>
    </row>
    <row r="40" spans="1:39" ht="15.75" x14ac:dyDescent="0.25">
      <c r="A40" s="13"/>
      <c r="B40" s="13"/>
      <c r="C40" s="13"/>
      <c r="D40" s="13"/>
      <c r="E40" s="154"/>
      <c r="F40" s="156"/>
      <c r="G40" s="156"/>
      <c r="H40" s="13"/>
      <c r="I40" s="13"/>
      <c r="J40" s="154"/>
      <c r="K40" s="154"/>
      <c r="L40" s="154"/>
      <c r="M40" s="13"/>
      <c r="N40" s="13"/>
      <c r="O40" s="13"/>
      <c r="P40" s="13"/>
      <c r="Q40" s="13"/>
      <c r="R40" s="154"/>
      <c r="S40" s="156"/>
      <c r="T40" s="156"/>
      <c r="U40" s="13"/>
      <c r="V40" s="13"/>
      <c r="W40" s="154"/>
      <c r="X40" s="154"/>
      <c r="Y40" s="154"/>
      <c r="Z40" s="13"/>
      <c r="AA40" s="13"/>
      <c r="AB40" s="13"/>
      <c r="AC40" s="13"/>
      <c r="AD40" s="13"/>
      <c r="AE40" s="154"/>
      <c r="AF40" s="156"/>
      <c r="AG40" s="156"/>
      <c r="AH40" s="13"/>
      <c r="AI40" s="13"/>
      <c r="AJ40" s="154"/>
      <c r="AK40" s="13"/>
      <c r="AL40" s="13"/>
      <c r="AM40" s="13"/>
    </row>
    <row r="41" spans="1:39" ht="15.75" x14ac:dyDescent="0.25">
      <c r="A41" s="152"/>
      <c r="B41" s="152"/>
      <c r="C41" s="152"/>
      <c r="D41" s="152"/>
      <c r="E41" s="155"/>
      <c r="F41" s="156"/>
      <c r="G41" s="156"/>
      <c r="H41" s="152"/>
      <c r="I41" s="152"/>
      <c r="J41" s="155"/>
      <c r="K41" s="155"/>
      <c r="L41" s="155"/>
      <c r="M41" s="13"/>
      <c r="N41" s="152"/>
      <c r="O41" s="152"/>
      <c r="P41" s="152"/>
      <c r="Q41" s="152"/>
      <c r="R41" s="155"/>
      <c r="S41" s="156"/>
      <c r="T41" s="156"/>
      <c r="U41" s="152"/>
      <c r="V41" s="152"/>
      <c r="W41" s="155"/>
      <c r="X41" s="155"/>
      <c r="Y41" s="155"/>
      <c r="Z41" s="13"/>
      <c r="AA41" s="152"/>
      <c r="AB41" s="152"/>
      <c r="AC41" s="152"/>
      <c r="AD41" s="152"/>
      <c r="AE41" s="155"/>
      <c r="AF41" s="156"/>
      <c r="AG41" s="156"/>
      <c r="AH41" s="152"/>
      <c r="AI41" s="152"/>
      <c r="AJ41" s="155"/>
      <c r="AK41" s="13"/>
      <c r="AL41" s="13"/>
      <c r="AM41" s="13"/>
    </row>
    <row r="42" spans="1:39" x14ac:dyDescent="0.25">
      <c r="A42" s="157"/>
      <c r="B42" s="157"/>
      <c r="C42" s="256"/>
      <c r="D42" s="256"/>
      <c r="E42" s="256"/>
      <c r="F42" s="257"/>
      <c r="G42" s="257"/>
      <c r="H42" s="256"/>
      <c r="I42" s="256"/>
      <c r="J42" s="256"/>
      <c r="K42" s="158"/>
      <c r="L42" s="158"/>
      <c r="M42" s="13"/>
      <c r="N42" s="157"/>
      <c r="O42" s="157"/>
      <c r="P42" s="256"/>
      <c r="Q42" s="256"/>
      <c r="R42" s="256"/>
      <c r="S42" s="257"/>
      <c r="T42" s="257"/>
      <c r="U42" s="256"/>
      <c r="V42" s="256"/>
      <c r="W42" s="256"/>
      <c r="X42" s="158"/>
      <c r="Y42" s="158"/>
      <c r="Z42" s="13"/>
      <c r="AA42" s="157"/>
      <c r="AB42" s="157"/>
      <c r="AC42" s="256"/>
      <c r="AD42" s="256"/>
      <c r="AE42" s="256"/>
      <c r="AF42" s="257"/>
      <c r="AG42" s="257"/>
      <c r="AH42" s="256"/>
      <c r="AI42" s="256"/>
      <c r="AJ42" s="256"/>
      <c r="AK42" s="13"/>
      <c r="AL42" s="13"/>
      <c r="AM42" s="13"/>
    </row>
    <row r="43" spans="1:39" ht="15.75" x14ac:dyDescent="0.25">
      <c r="A43" s="13"/>
      <c r="B43" s="13"/>
      <c r="C43" s="13"/>
      <c r="D43" s="156"/>
      <c r="E43" s="154"/>
      <c r="F43" s="156"/>
      <c r="G43" s="156"/>
      <c r="H43" s="13"/>
      <c r="I43" s="156"/>
      <c r="J43" s="154"/>
      <c r="K43" s="154"/>
      <c r="L43" s="154"/>
      <c r="M43" s="13"/>
      <c r="N43" s="13"/>
      <c r="O43" s="13"/>
      <c r="P43" s="13"/>
      <c r="Q43" s="156"/>
      <c r="R43" s="154"/>
      <c r="S43" s="156"/>
      <c r="T43" s="156"/>
      <c r="U43" s="13"/>
      <c r="V43" s="156"/>
      <c r="W43" s="154"/>
      <c r="X43" s="154"/>
      <c r="Y43" s="154"/>
      <c r="Z43" s="13"/>
      <c r="AA43" s="13"/>
      <c r="AB43" s="13"/>
      <c r="AC43" s="13"/>
      <c r="AD43" s="156"/>
      <c r="AE43" s="154"/>
      <c r="AF43" s="156"/>
      <c r="AG43" s="156"/>
      <c r="AH43" s="13"/>
      <c r="AI43" s="156"/>
      <c r="AJ43" s="154"/>
      <c r="AK43" s="13"/>
      <c r="AL43" s="13"/>
      <c r="AM43" s="13"/>
    </row>
    <row r="44" spans="1:39" ht="15.75" x14ac:dyDescent="0.25">
      <c r="A44" s="13"/>
      <c r="B44" s="13"/>
      <c r="C44" s="13"/>
      <c r="D44" s="13"/>
      <c r="E44" s="154"/>
      <c r="F44" s="156"/>
      <c r="G44" s="156"/>
      <c r="H44" s="13"/>
      <c r="I44" s="13"/>
      <c r="J44" s="154"/>
      <c r="K44" s="154"/>
      <c r="L44" s="154"/>
      <c r="M44" s="13"/>
      <c r="N44" s="13"/>
      <c r="O44" s="13"/>
      <c r="P44" s="13"/>
      <c r="Q44" s="156"/>
      <c r="R44" s="154"/>
      <c r="S44" s="156"/>
      <c r="T44" s="156"/>
      <c r="U44" s="13"/>
      <c r="V44" s="156"/>
      <c r="W44" s="154"/>
      <c r="X44" s="154"/>
      <c r="Y44" s="154"/>
      <c r="Z44" s="13"/>
      <c r="AA44" s="13"/>
      <c r="AB44" s="13"/>
      <c r="AC44" s="13"/>
      <c r="AD44" s="156"/>
      <c r="AE44" s="154"/>
      <c r="AF44" s="156"/>
      <c r="AG44" s="156"/>
      <c r="AH44" s="13"/>
      <c r="AI44" s="156"/>
      <c r="AJ44" s="154"/>
      <c r="AK44" s="13"/>
      <c r="AL44" s="13"/>
      <c r="AM44" s="13"/>
    </row>
    <row r="45" spans="1:39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54"/>
      <c r="K45" s="154"/>
      <c r="L45" s="154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</row>
    <row r="46" spans="1:39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54"/>
      <c r="K46" s="154"/>
      <c r="L46" s="154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</row>
    <row r="47" spans="1:39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54"/>
      <c r="K47" s="154"/>
      <c r="L47" s="154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</row>
    <row r="48" spans="1:39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54"/>
      <c r="K48" s="154"/>
      <c r="L48" s="154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</row>
    <row r="49" spans="1:39" ht="15.75" x14ac:dyDescent="0.25">
      <c r="A49" s="13"/>
      <c r="B49" s="13"/>
      <c r="C49" s="13"/>
      <c r="D49" s="13"/>
      <c r="E49" s="238"/>
      <c r="F49" s="238"/>
      <c r="G49" s="239"/>
      <c r="H49" s="239"/>
      <c r="I49" s="13"/>
      <c r="J49" s="154"/>
      <c r="K49" s="154"/>
      <c r="L49" s="154"/>
      <c r="M49" s="13"/>
      <c r="N49" s="13"/>
      <c r="O49" s="13"/>
      <c r="P49" s="13"/>
      <c r="Q49" s="13"/>
      <c r="R49" s="238"/>
      <c r="S49" s="238"/>
      <c r="T49" s="239"/>
      <c r="U49" s="239"/>
      <c r="V49" s="13"/>
      <c r="W49" s="154"/>
      <c r="X49" s="154"/>
      <c r="Y49" s="154"/>
      <c r="Z49" s="13"/>
      <c r="AA49" s="13"/>
      <c r="AB49" s="13"/>
      <c r="AC49" s="13"/>
      <c r="AD49" s="13"/>
      <c r="AE49" s="238"/>
      <c r="AF49" s="238"/>
      <c r="AG49" s="239"/>
      <c r="AH49" s="239"/>
      <c r="AI49" s="13"/>
      <c r="AJ49" s="154"/>
      <c r="AK49" s="13"/>
      <c r="AL49" s="13"/>
      <c r="AM49" s="13"/>
    </row>
    <row r="50" spans="1:39" ht="15.75" x14ac:dyDescent="0.25">
      <c r="A50" s="13"/>
      <c r="B50" s="13"/>
      <c r="C50" s="13"/>
      <c r="D50" s="13"/>
      <c r="E50" s="238"/>
      <c r="F50" s="238"/>
      <c r="G50" s="239"/>
      <c r="H50" s="239"/>
      <c r="I50" s="13"/>
      <c r="J50" s="154"/>
      <c r="K50" s="154"/>
      <c r="L50" s="154"/>
      <c r="M50" s="13"/>
      <c r="N50" s="13"/>
      <c r="O50" s="13"/>
      <c r="P50" s="13"/>
      <c r="Q50" s="13"/>
      <c r="R50" s="238"/>
      <c r="S50" s="238"/>
      <c r="T50" s="239"/>
      <c r="U50" s="239"/>
      <c r="V50" s="13"/>
      <c r="W50" s="154"/>
      <c r="X50" s="154"/>
      <c r="Y50" s="154"/>
      <c r="Z50" s="13"/>
      <c r="AA50" s="13"/>
      <c r="AB50" s="13"/>
      <c r="AC50" s="13"/>
      <c r="AD50" s="13"/>
      <c r="AE50" s="238"/>
      <c r="AF50" s="238"/>
      <c r="AG50" s="239"/>
      <c r="AH50" s="239"/>
      <c r="AI50" s="13"/>
      <c r="AJ50" s="154"/>
      <c r="AK50" s="13"/>
      <c r="AL50" s="13"/>
      <c r="AM50" s="13"/>
    </row>
    <row r="51" spans="1:39" ht="15.75" x14ac:dyDescent="0.25">
      <c r="A51" s="13"/>
      <c r="B51" s="13"/>
      <c r="C51" s="13"/>
      <c r="D51" s="13"/>
      <c r="E51" s="238"/>
      <c r="F51" s="238"/>
      <c r="G51" s="239"/>
      <c r="H51" s="239"/>
      <c r="I51" s="13"/>
      <c r="J51" s="154"/>
      <c r="K51" s="154"/>
      <c r="L51" s="154"/>
      <c r="M51" s="13"/>
      <c r="N51" s="13"/>
      <c r="O51" s="13"/>
      <c r="P51" s="13"/>
      <c r="Q51" s="13"/>
      <c r="R51" s="238"/>
      <c r="S51" s="238"/>
      <c r="T51" s="239"/>
      <c r="U51" s="239"/>
      <c r="V51" s="13"/>
      <c r="W51" s="154"/>
      <c r="X51" s="154"/>
      <c r="Y51" s="154"/>
      <c r="Z51" s="13"/>
      <c r="AA51" s="13"/>
      <c r="AB51" s="13"/>
      <c r="AC51" s="13"/>
      <c r="AD51" s="13"/>
      <c r="AE51" s="238"/>
      <c r="AF51" s="238"/>
      <c r="AG51" s="239"/>
      <c r="AH51" s="239"/>
      <c r="AI51" s="13"/>
      <c r="AJ51" s="154"/>
      <c r="AK51" s="13"/>
      <c r="AL51" s="13"/>
      <c r="AM51" s="13"/>
    </row>
    <row r="52" spans="1:39" ht="15.75" x14ac:dyDescent="0.25">
      <c r="A52" s="13"/>
      <c r="B52" s="13"/>
      <c r="C52" s="13"/>
      <c r="D52" s="13"/>
      <c r="E52" s="238"/>
      <c r="F52" s="238"/>
      <c r="G52" s="239"/>
      <c r="H52" s="239"/>
      <c r="I52" s="13"/>
      <c r="J52" s="154"/>
      <c r="K52" s="154"/>
      <c r="L52" s="154"/>
      <c r="M52" s="13"/>
      <c r="N52" s="13"/>
      <c r="O52" s="13"/>
      <c r="P52" s="13"/>
      <c r="Q52" s="13"/>
      <c r="R52" s="238"/>
      <c r="S52" s="238"/>
      <c r="T52" s="239"/>
      <c r="U52" s="239"/>
      <c r="V52" s="13"/>
      <c r="W52" s="154"/>
      <c r="X52" s="154"/>
      <c r="Y52" s="154"/>
      <c r="Z52" s="13"/>
      <c r="AA52" s="13"/>
      <c r="AB52" s="13"/>
      <c r="AC52" s="13"/>
      <c r="AD52" s="13"/>
      <c r="AE52" s="238"/>
      <c r="AF52" s="238"/>
      <c r="AG52" s="239"/>
      <c r="AH52" s="239"/>
      <c r="AI52" s="13"/>
      <c r="AJ52" s="154"/>
      <c r="AK52" s="13"/>
      <c r="AL52" s="13"/>
      <c r="AM52" s="13"/>
    </row>
    <row r="53" spans="1:39" ht="15.75" x14ac:dyDescent="0.25">
      <c r="A53" s="13"/>
      <c r="B53" s="13"/>
      <c r="C53" s="13"/>
      <c r="D53" s="13"/>
      <c r="E53" s="238"/>
      <c r="F53" s="238"/>
      <c r="G53" s="239"/>
      <c r="H53" s="239"/>
      <c r="I53" s="13"/>
      <c r="J53" s="154"/>
      <c r="K53" s="154"/>
      <c r="L53" s="154"/>
      <c r="M53" s="13"/>
      <c r="N53" s="13"/>
      <c r="O53" s="13"/>
      <c r="P53" s="13"/>
      <c r="Q53" s="13"/>
      <c r="R53" s="238"/>
      <c r="S53" s="238"/>
      <c r="T53" s="239"/>
      <c r="U53" s="239"/>
      <c r="V53" s="13"/>
      <c r="W53" s="154"/>
      <c r="X53" s="154"/>
      <c r="Y53" s="154"/>
      <c r="Z53" s="13"/>
      <c r="AA53" s="13"/>
      <c r="AB53" s="13"/>
      <c r="AC53" s="13"/>
      <c r="AD53" s="13"/>
      <c r="AE53" s="238"/>
      <c r="AF53" s="238"/>
      <c r="AG53" s="239"/>
      <c r="AH53" s="239"/>
      <c r="AI53" s="13"/>
      <c r="AJ53" s="154"/>
      <c r="AK53" s="13"/>
      <c r="AL53" s="13"/>
      <c r="AM53" s="13"/>
    </row>
    <row r="54" spans="1:39" ht="15.75" x14ac:dyDescent="0.25">
      <c r="A54" s="13"/>
      <c r="B54" s="13"/>
      <c r="C54" s="13"/>
      <c r="D54" s="13"/>
      <c r="E54" s="154"/>
      <c r="F54" s="156"/>
      <c r="G54" s="156"/>
      <c r="H54" s="13"/>
      <c r="I54" s="13"/>
      <c r="J54" s="154"/>
      <c r="K54" s="154"/>
      <c r="L54" s="154"/>
      <c r="M54" s="13"/>
      <c r="N54" s="13"/>
      <c r="O54" s="13"/>
      <c r="P54" s="13"/>
      <c r="Q54" s="13"/>
      <c r="R54" s="154"/>
      <c r="S54" s="156"/>
      <c r="T54" s="156"/>
      <c r="U54" s="13"/>
      <c r="V54" s="13"/>
      <c r="W54" s="154"/>
      <c r="X54" s="154"/>
      <c r="Y54" s="154"/>
      <c r="Z54" s="13"/>
      <c r="AA54" s="13"/>
      <c r="AB54" s="13"/>
      <c r="AC54" s="13"/>
      <c r="AD54" s="13"/>
      <c r="AE54" s="154"/>
      <c r="AF54" s="156"/>
      <c r="AG54" s="156"/>
      <c r="AH54" s="13"/>
      <c r="AI54" s="13"/>
      <c r="AJ54" s="154"/>
      <c r="AK54" s="13"/>
      <c r="AL54" s="13"/>
      <c r="AM54" s="13"/>
    </row>
    <row r="55" spans="1:39" ht="15.75" x14ac:dyDescent="0.25">
      <c r="A55" s="152"/>
      <c r="B55" s="152"/>
      <c r="C55" s="152"/>
      <c r="D55" s="152"/>
      <c r="E55" s="155"/>
      <c r="F55" s="156"/>
      <c r="G55" s="156"/>
      <c r="H55" s="152"/>
      <c r="I55" s="152"/>
      <c r="J55" s="155"/>
      <c r="K55" s="155"/>
      <c r="L55" s="155"/>
      <c r="M55" s="13"/>
      <c r="N55" s="152"/>
      <c r="O55" s="152"/>
      <c r="P55" s="152"/>
      <c r="Q55" s="152"/>
      <c r="R55" s="155"/>
      <c r="S55" s="156"/>
      <c r="T55" s="156"/>
      <c r="U55" s="152"/>
      <c r="V55" s="152"/>
      <c r="W55" s="155"/>
      <c r="X55" s="155"/>
      <c r="Y55" s="155"/>
      <c r="Z55" s="13"/>
      <c r="AA55" s="152"/>
      <c r="AB55" s="152"/>
      <c r="AC55" s="152"/>
      <c r="AD55" s="152"/>
      <c r="AE55" s="155"/>
      <c r="AF55" s="156"/>
      <c r="AG55" s="156"/>
      <c r="AH55" s="152"/>
      <c r="AI55" s="152"/>
      <c r="AJ55" s="155"/>
      <c r="AK55" s="13"/>
      <c r="AL55" s="13"/>
      <c r="AM55" s="13"/>
    </row>
    <row r="56" spans="1:39" x14ac:dyDescent="0.25">
      <c r="A56" s="157"/>
      <c r="B56" s="157"/>
      <c r="C56" s="256"/>
      <c r="D56" s="256"/>
      <c r="E56" s="256"/>
      <c r="F56" s="257"/>
      <c r="G56" s="257"/>
      <c r="H56" s="256"/>
      <c r="I56" s="256"/>
      <c r="J56" s="256"/>
      <c r="K56" s="158"/>
      <c r="L56" s="158"/>
      <c r="M56" s="13"/>
      <c r="N56" s="157"/>
      <c r="O56" s="157"/>
      <c r="P56" s="256"/>
      <c r="Q56" s="256"/>
      <c r="R56" s="256"/>
      <c r="S56" s="257"/>
      <c r="T56" s="257"/>
      <c r="U56" s="256"/>
      <c r="V56" s="256"/>
      <c r="W56" s="256"/>
      <c r="X56" s="158"/>
      <c r="Y56" s="158"/>
      <c r="Z56" s="13"/>
      <c r="AA56" s="157"/>
      <c r="AB56" s="157"/>
      <c r="AC56" s="256"/>
      <c r="AD56" s="256"/>
      <c r="AE56" s="256"/>
      <c r="AF56" s="257"/>
      <c r="AG56" s="257"/>
      <c r="AH56" s="256"/>
      <c r="AI56" s="256"/>
      <c r="AJ56" s="256"/>
      <c r="AK56" s="13"/>
      <c r="AL56" s="13"/>
      <c r="AM56" s="13"/>
    </row>
    <row r="57" spans="1:39" ht="15.75" x14ac:dyDescent="0.25">
      <c r="A57" s="13"/>
      <c r="B57" s="13"/>
      <c r="C57" s="13"/>
      <c r="D57" s="156"/>
      <c r="E57" s="154"/>
      <c r="F57" s="156"/>
      <c r="G57" s="156"/>
      <c r="H57" s="13"/>
      <c r="I57" s="156"/>
      <c r="J57" s="154"/>
      <c r="K57" s="154"/>
      <c r="L57" s="154"/>
      <c r="M57" s="13"/>
      <c r="N57" s="13"/>
      <c r="O57" s="13"/>
      <c r="P57" s="13"/>
      <c r="Q57" s="156"/>
      <c r="R57" s="154"/>
      <c r="S57" s="156"/>
      <c r="T57" s="156"/>
      <c r="U57" s="13"/>
      <c r="V57" s="156"/>
      <c r="W57" s="154"/>
      <c r="X57" s="154"/>
      <c r="Y57" s="154"/>
      <c r="Z57" s="13"/>
      <c r="AA57" s="13"/>
      <c r="AB57" s="13"/>
      <c r="AC57" s="13"/>
      <c r="AD57" s="156"/>
      <c r="AE57" s="154"/>
      <c r="AF57" s="156"/>
      <c r="AG57" s="156"/>
      <c r="AH57" s="13"/>
      <c r="AI57" s="156"/>
      <c r="AJ57" s="154"/>
      <c r="AK57" s="13"/>
      <c r="AL57" s="13"/>
      <c r="AM57" s="13"/>
    </row>
    <row r="58" spans="1:39" ht="15.75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54"/>
      <c r="K58" s="154"/>
      <c r="L58" s="154"/>
      <c r="M58" s="13"/>
      <c r="N58" s="13"/>
      <c r="O58" s="13"/>
      <c r="P58" s="13"/>
      <c r="Q58" s="156"/>
      <c r="R58" s="154"/>
      <c r="S58" s="156"/>
      <c r="T58" s="156"/>
      <c r="U58" s="13"/>
      <c r="V58" s="156"/>
      <c r="W58" s="154"/>
      <c r="X58" s="154"/>
      <c r="Y58" s="154"/>
      <c r="Z58" s="13"/>
      <c r="AA58" s="13"/>
      <c r="AB58" s="13"/>
      <c r="AC58" s="13"/>
      <c r="AD58" s="156"/>
      <c r="AE58" s="154"/>
      <c r="AF58" s="156"/>
      <c r="AG58" s="156"/>
      <c r="AH58" s="13"/>
      <c r="AI58" s="156"/>
      <c r="AJ58" s="154"/>
      <c r="AK58" s="13"/>
      <c r="AL58" s="13"/>
      <c r="AM58" s="13"/>
    </row>
    <row r="59" spans="1:39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54"/>
      <c r="K59" s="154"/>
      <c r="L59" s="154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</row>
    <row r="60" spans="1:39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54"/>
      <c r="K60" s="154"/>
      <c r="L60" s="154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</row>
    <row r="61" spans="1:39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54"/>
      <c r="K61" s="154"/>
      <c r="L61" s="154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</row>
    <row r="62" spans="1:39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54"/>
      <c r="K62" s="154"/>
      <c r="L62" s="154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</row>
    <row r="63" spans="1:39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54"/>
      <c r="K63" s="154"/>
      <c r="L63" s="154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</row>
  </sheetData>
  <mergeCells count="157">
    <mergeCell ref="AC56:AE56"/>
    <mergeCell ref="AF56:AG56"/>
    <mergeCell ref="AH56:AJ56"/>
    <mergeCell ref="AG52:AH52"/>
    <mergeCell ref="AC42:AE42"/>
    <mergeCell ref="AF42:AG42"/>
    <mergeCell ref="AH42:AJ42"/>
    <mergeCell ref="AC26:AE26"/>
    <mergeCell ref="AF26:AG26"/>
    <mergeCell ref="AH26:AJ26"/>
    <mergeCell ref="AE53:AF53"/>
    <mergeCell ref="AG53:AH53"/>
    <mergeCell ref="E52:F52"/>
    <mergeCell ref="G52:H52"/>
    <mergeCell ref="R52:S52"/>
    <mergeCell ref="T52:U52"/>
    <mergeCell ref="AE52:AF52"/>
    <mergeCell ref="AG6:AH6"/>
    <mergeCell ref="AE7:AF7"/>
    <mergeCell ref="AG7:AH7"/>
    <mergeCell ref="AC10:AE10"/>
    <mergeCell ref="AF10:AG10"/>
    <mergeCell ref="AH10:AJ10"/>
    <mergeCell ref="E51:F51"/>
    <mergeCell ref="G51:H51"/>
    <mergeCell ref="R51:S51"/>
    <mergeCell ref="T51:U51"/>
    <mergeCell ref="AE51:AF51"/>
    <mergeCell ref="AG51:AH51"/>
    <mergeCell ref="E50:F50"/>
    <mergeCell ref="G50:H50"/>
    <mergeCell ref="R50:S50"/>
    <mergeCell ref="T50:U50"/>
    <mergeCell ref="AE50:AF50"/>
    <mergeCell ref="AG50:AH50"/>
    <mergeCell ref="E49:F49"/>
    <mergeCell ref="C56:E56"/>
    <mergeCell ref="F56:G56"/>
    <mergeCell ref="H56:J56"/>
    <mergeCell ref="P56:R56"/>
    <mergeCell ref="S56:T56"/>
    <mergeCell ref="U56:W56"/>
    <mergeCell ref="E53:F53"/>
    <mergeCell ref="G53:H53"/>
    <mergeCell ref="R53:S53"/>
    <mergeCell ref="T53:U53"/>
    <mergeCell ref="G49:H49"/>
    <mergeCell ref="R49:S49"/>
    <mergeCell ref="T49:U49"/>
    <mergeCell ref="AE49:AF49"/>
    <mergeCell ref="AG49:AH49"/>
    <mergeCell ref="C42:E42"/>
    <mergeCell ref="F42:G42"/>
    <mergeCell ref="H42:J42"/>
    <mergeCell ref="P42:R42"/>
    <mergeCell ref="S42:T42"/>
    <mergeCell ref="U42:W42"/>
    <mergeCell ref="E39:F39"/>
    <mergeCell ref="G39:H39"/>
    <mergeCell ref="R39:S39"/>
    <mergeCell ref="T39:U39"/>
    <mergeCell ref="AE39:AF39"/>
    <mergeCell ref="AG39:AH39"/>
    <mergeCell ref="E38:F38"/>
    <mergeCell ref="G38:H38"/>
    <mergeCell ref="R38:S38"/>
    <mergeCell ref="T38:U38"/>
    <mergeCell ref="AE38:AF38"/>
    <mergeCell ref="AG38:AH38"/>
    <mergeCell ref="E37:F37"/>
    <mergeCell ref="G37:H37"/>
    <mergeCell ref="R37:S37"/>
    <mergeCell ref="T37:U37"/>
    <mergeCell ref="AE37:AF37"/>
    <mergeCell ref="AG37:AH37"/>
    <mergeCell ref="E36:F36"/>
    <mergeCell ref="G36:H36"/>
    <mergeCell ref="R36:S36"/>
    <mergeCell ref="T36:U36"/>
    <mergeCell ref="AE36:AF36"/>
    <mergeCell ref="AG36:AH36"/>
    <mergeCell ref="E35:F35"/>
    <mergeCell ref="G35:H35"/>
    <mergeCell ref="R35:S35"/>
    <mergeCell ref="T35:U35"/>
    <mergeCell ref="AE35:AF35"/>
    <mergeCell ref="AG35:AH35"/>
    <mergeCell ref="C26:E26"/>
    <mergeCell ref="F26:G26"/>
    <mergeCell ref="H26:J26"/>
    <mergeCell ref="P26:R26"/>
    <mergeCell ref="S26:T26"/>
    <mergeCell ref="U26:W26"/>
    <mergeCell ref="E23:F23"/>
    <mergeCell ref="G23:H23"/>
    <mergeCell ref="R23:S23"/>
    <mergeCell ref="T23:U23"/>
    <mergeCell ref="AE23:AF23"/>
    <mergeCell ref="AG23:AH23"/>
    <mergeCell ref="E22:F22"/>
    <mergeCell ref="G22:H22"/>
    <mergeCell ref="R22:S22"/>
    <mergeCell ref="T22:U22"/>
    <mergeCell ref="AE22:AF22"/>
    <mergeCell ref="AG22:AH22"/>
    <mergeCell ref="E21:F21"/>
    <mergeCell ref="G21:H21"/>
    <mergeCell ref="R21:S21"/>
    <mergeCell ref="T21:U21"/>
    <mergeCell ref="AE21:AF21"/>
    <mergeCell ref="AG21:AH21"/>
    <mergeCell ref="E20:F20"/>
    <mergeCell ref="G20:H20"/>
    <mergeCell ref="R20:S20"/>
    <mergeCell ref="T20:U20"/>
    <mergeCell ref="AE20:AF20"/>
    <mergeCell ref="AG20:AH20"/>
    <mergeCell ref="E19:F19"/>
    <mergeCell ref="G19:H19"/>
    <mergeCell ref="R19:S19"/>
    <mergeCell ref="T19:U19"/>
    <mergeCell ref="AE19:AF19"/>
    <mergeCell ref="AG19:AH19"/>
    <mergeCell ref="E7:F7"/>
    <mergeCell ref="G7:H7"/>
    <mergeCell ref="R7:S7"/>
    <mergeCell ref="T7:U7"/>
    <mergeCell ref="C10:E10"/>
    <mergeCell ref="F10:G10"/>
    <mergeCell ref="H10:J10"/>
    <mergeCell ref="P10:R10"/>
    <mergeCell ref="S10:T10"/>
    <mergeCell ref="U10:W10"/>
    <mergeCell ref="E5:F5"/>
    <mergeCell ref="G5:H5"/>
    <mergeCell ref="R5:S5"/>
    <mergeCell ref="T5:U5"/>
    <mergeCell ref="E6:F6"/>
    <mergeCell ref="G6:H6"/>
    <mergeCell ref="R6:S6"/>
    <mergeCell ref="T6:U6"/>
    <mergeCell ref="A1:AJ1"/>
    <mergeCell ref="E3:F3"/>
    <mergeCell ref="G3:H3"/>
    <mergeCell ref="R3:S3"/>
    <mergeCell ref="T3:U3"/>
    <mergeCell ref="E4:F4"/>
    <mergeCell ref="G4:H4"/>
    <mergeCell ref="R4:S4"/>
    <mergeCell ref="T4:U4"/>
    <mergeCell ref="AE3:AF3"/>
    <mergeCell ref="AG3:AH3"/>
    <mergeCell ref="AE4:AF4"/>
    <mergeCell ref="AG4:AH4"/>
    <mergeCell ref="AE5:AF5"/>
    <mergeCell ref="AG5:AH5"/>
    <mergeCell ref="AE6:AF6"/>
  </mergeCells>
  <printOptions horizontalCentered="1" verticalCentered="1"/>
  <pageMargins left="7.874015748031496E-2" right="7.874015748031496E-2" top="7.874015748031496E-2" bottom="0" header="0" footer="7.874015748031496E-2"/>
  <pageSetup scale="6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210E1-4909-46FC-B2DD-D0E896C0D08F}">
  <dimension ref="A1:BA753"/>
  <sheetViews>
    <sheetView topLeftCell="A361" workbookViewId="0">
      <selection activeCell="A383" sqref="A383:D391"/>
    </sheetView>
  </sheetViews>
  <sheetFormatPr defaultRowHeight="15" x14ac:dyDescent="0.25"/>
  <cols>
    <col min="5" max="5" width="3.5703125" bestFit="1" customWidth="1"/>
    <col min="6" max="6" width="26" bestFit="1" customWidth="1"/>
    <col min="7" max="7" width="19" bestFit="1" customWidth="1"/>
    <col min="8" max="8" width="26" bestFit="1" customWidth="1"/>
    <col min="9" max="9" width="18.28515625" bestFit="1" customWidth="1"/>
    <col min="10" max="10" width="14.7109375" bestFit="1" customWidth="1"/>
    <col min="11" max="11" width="18.28515625" bestFit="1" customWidth="1"/>
    <col min="12" max="12" width="19" bestFit="1" customWidth="1"/>
    <col min="13" max="13" width="24.85546875" bestFit="1" customWidth="1"/>
    <col min="14" max="14" width="11.7109375" bestFit="1" customWidth="1"/>
    <col min="15" max="15" width="14.7109375" bestFit="1" customWidth="1"/>
  </cols>
  <sheetData>
    <row r="1" spans="1:53" ht="15.75" x14ac:dyDescent="0.25">
      <c r="A1" s="213" t="str">
        <f>References!$F$2</f>
        <v>Name</v>
      </c>
      <c r="B1" s="213"/>
      <c r="C1" s="218" t="s">
        <v>4</v>
      </c>
      <c r="D1" s="218"/>
      <c r="E1" s="13"/>
      <c r="F1" s="13"/>
      <c r="G1" s="13"/>
      <c r="H1" s="13"/>
      <c r="I1" s="13"/>
      <c r="K1" s="126"/>
      <c r="L1" s="13"/>
      <c r="M1" s="13"/>
      <c r="N1" s="126"/>
      <c r="O1" s="126"/>
      <c r="P1" s="13"/>
      <c r="Q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</row>
    <row r="2" spans="1:53" ht="15.75" x14ac:dyDescent="0.25">
      <c r="A2" s="213" t="str">
        <f>References!$F$3</f>
        <v>Class</v>
      </c>
      <c r="B2" s="213"/>
      <c r="C2" s="218" t="str">
        <f>References!$E$2</f>
        <v>Creature</v>
      </c>
      <c r="D2" s="218"/>
      <c r="E2" s="13"/>
      <c r="F2" s="13"/>
      <c r="G2" s="13"/>
      <c r="H2" s="13"/>
      <c r="I2" s="13"/>
      <c r="K2" s="126"/>
      <c r="L2" s="13"/>
      <c r="M2" s="13"/>
      <c r="N2" s="126"/>
      <c r="O2" s="126"/>
      <c r="P2" s="13"/>
      <c r="Q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</row>
    <row r="3" spans="1:53" ht="15.75" x14ac:dyDescent="0.25">
      <c r="A3" s="213" t="str">
        <f>References!$F$4</f>
        <v>Type</v>
      </c>
      <c r="B3" s="213"/>
      <c r="C3" s="229"/>
      <c r="D3" s="229"/>
      <c r="E3" s="13"/>
      <c r="F3" s="13"/>
      <c r="G3" s="13"/>
      <c r="H3" s="13"/>
      <c r="I3" s="13"/>
      <c r="K3" s="126"/>
      <c r="L3" s="13"/>
      <c r="M3" s="13"/>
      <c r="N3" s="126"/>
      <c r="O3" s="126"/>
      <c r="P3" s="13"/>
      <c r="Q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</row>
    <row r="4" spans="1:53" ht="15.75" x14ac:dyDescent="0.25">
      <c r="A4" s="213" t="str">
        <f>References!$F$5</f>
        <v>Nb. Targets</v>
      </c>
      <c r="B4" s="213"/>
      <c r="C4" s="229"/>
      <c r="D4" s="229"/>
      <c r="E4" s="13"/>
      <c r="F4" s="13"/>
      <c r="G4" s="13"/>
      <c r="H4" s="13"/>
      <c r="I4" s="13"/>
      <c r="K4" s="126"/>
      <c r="L4" s="13"/>
      <c r="M4" s="13"/>
      <c r="N4" s="126"/>
      <c r="O4" s="126"/>
      <c r="P4" s="13"/>
      <c r="Q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</row>
    <row r="5" spans="1:53" ht="15.75" x14ac:dyDescent="0.25">
      <c r="A5" s="213" t="str">
        <f>References!$F$6</f>
        <v>Energy cost</v>
      </c>
      <c r="B5" s="213"/>
      <c r="C5" s="218">
        <v>0</v>
      </c>
      <c r="D5" s="218"/>
      <c r="E5" s="13"/>
      <c r="F5" s="13"/>
      <c r="G5" s="13"/>
      <c r="H5" s="13"/>
      <c r="I5" s="13"/>
      <c r="K5" s="126"/>
      <c r="L5" s="13"/>
      <c r="M5" s="13"/>
      <c r="N5" s="126"/>
      <c r="O5" s="126"/>
      <c r="P5" s="13"/>
      <c r="Q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</row>
    <row r="6" spans="1:53" ht="15.75" x14ac:dyDescent="0.25">
      <c r="A6" s="213" t="s">
        <v>111</v>
      </c>
      <c r="B6" s="213"/>
      <c r="C6" s="210">
        <v>1</v>
      </c>
      <c r="D6" s="210"/>
      <c r="E6" s="13"/>
      <c r="F6" s="13"/>
      <c r="G6" s="13"/>
      <c r="H6" s="13"/>
      <c r="I6" s="13"/>
      <c r="K6" s="154"/>
      <c r="L6" s="13"/>
      <c r="M6" s="13"/>
      <c r="N6" s="154"/>
      <c r="O6" s="154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</row>
    <row r="7" spans="1:53" ht="15.75" x14ac:dyDescent="0.25">
      <c r="A7" s="213" t="s">
        <v>110</v>
      </c>
      <c r="B7" s="213"/>
      <c r="C7" s="210">
        <v>0</v>
      </c>
      <c r="D7" s="210"/>
      <c r="E7" s="13"/>
      <c r="F7" s="13"/>
      <c r="G7" s="13"/>
      <c r="H7" s="13"/>
      <c r="I7" s="13"/>
      <c r="K7" s="154"/>
      <c r="L7" s="13"/>
      <c r="M7" s="13"/>
      <c r="N7" s="154"/>
      <c r="O7" s="154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</row>
    <row r="8" spans="1:53" ht="16.5" thickBot="1" x14ac:dyDescent="0.3">
      <c r="A8" s="186" t="str">
        <f>References!$G$2</f>
        <v>Type</v>
      </c>
      <c r="B8" s="187" t="str">
        <f>References!$G$3</f>
        <v>Stat</v>
      </c>
      <c r="C8" s="188" t="str">
        <f>References!$G$7</f>
        <v>Nb</v>
      </c>
      <c r="D8" s="189" t="str">
        <f>References!$G$8</f>
        <v>Turns</v>
      </c>
      <c r="E8" s="155"/>
      <c r="F8" s="13"/>
      <c r="G8" s="13"/>
      <c r="H8" s="13"/>
      <c r="I8" s="152"/>
      <c r="K8" s="155"/>
      <c r="L8" s="13"/>
      <c r="M8" s="13"/>
      <c r="N8" s="155"/>
      <c r="O8" s="155"/>
      <c r="P8" s="13"/>
      <c r="Q8" s="13"/>
      <c r="R8" s="152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</row>
    <row r="9" spans="1:53" ht="16.5" thickBot="1" x14ac:dyDescent="0.3">
      <c r="A9" s="170"/>
      <c r="B9" s="145"/>
      <c r="C9" s="170"/>
      <c r="D9" s="172"/>
      <c r="E9" s="156"/>
      <c r="F9" s="13"/>
      <c r="G9" s="13"/>
      <c r="H9" s="13"/>
      <c r="I9" s="156"/>
      <c r="K9" s="156"/>
      <c r="L9" s="13"/>
      <c r="M9" s="13"/>
      <c r="N9" s="156"/>
      <c r="O9" s="156"/>
      <c r="P9" s="13"/>
      <c r="Q9" s="13"/>
      <c r="R9" s="156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</row>
    <row r="10" spans="1:53" x14ac:dyDescent="0.25">
      <c r="E10" s="13"/>
      <c r="F10" s="13"/>
      <c r="G10" s="13"/>
      <c r="H10" s="13"/>
      <c r="I10" s="13"/>
      <c r="L10" s="13"/>
      <c r="M10" s="13"/>
      <c r="P10" s="13"/>
      <c r="Q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:53" x14ac:dyDescent="0.25">
      <c r="E11" s="13"/>
      <c r="F11" s="13"/>
      <c r="G11" s="13"/>
      <c r="H11" s="13"/>
      <c r="I11" s="13"/>
      <c r="L11" s="13"/>
      <c r="M11" s="13"/>
      <c r="P11" s="13"/>
      <c r="Q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</row>
    <row r="12" spans="1:53" ht="15.75" x14ac:dyDescent="0.25">
      <c r="A12" s="213" t="str">
        <f>References!$F$2</f>
        <v>Name</v>
      </c>
      <c r="B12" s="213"/>
      <c r="C12" s="218" t="s">
        <v>0</v>
      </c>
      <c r="D12" s="218"/>
      <c r="E12" s="13"/>
      <c r="F12" s="13"/>
      <c r="G12" s="13"/>
      <c r="H12" s="13"/>
      <c r="I12" s="13"/>
      <c r="K12" s="126"/>
      <c r="L12" s="13"/>
      <c r="M12" s="13"/>
      <c r="N12" s="126"/>
      <c r="O12" s="126"/>
      <c r="P12" s="13"/>
      <c r="Q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</row>
    <row r="13" spans="1:53" ht="15.75" x14ac:dyDescent="0.25">
      <c r="A13" s="213" t="str">
        <f>References!$F$3</f>
        <v>Class</v>
      </c>
      <c r="B13" s="213"/>
      <c r="C13" s="218" t="str">
        <f>References!$E$2</f>
        <v>Creature</v>
      </c>
      <c r="D13" s="218"/>
      <c r="E13" s="13"/>
      <c r="F13" s="13"/>
      <c r="G13" s="13"/>
      <c r="H13" s="13"/>
      <c r="I13" s="13"/>
      <c r="K13" s="126"/>
      <c r="L13" s="13"/>
      <c r="M13" s="13"/>
      <c r="N13" s="126"/>
      <c r="O13" s="126"/>
      <c r="P13" s="13"/>
      <c r="Q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</row>
    <row r="14" spans="1:53" ht="15.75" x14ac:dyDescent="0.25">
      <c r="A14" s="213" t="str">
        <f>References!$F$4</f>
        <v>Type</v>
      </c>
      <c r="B14" s="213"/>
      <c r="C14" s="218" t="str">
        <f>References!$B$2</f>
        <v>Offensive</v>
      </c>
      <c r="D14" s="218"/>
      <c r="E14" s="13"/>
      <c r="F14" s="13"/>
      <c r="G14" s="13"/>
      <c r="H14" s="13"/>
      <c r="I14" s="13"/>
      <c r="K14" s="126"/>
      <c r="L14" s="13"/>
      <c r="M14" s="13"/>
      <c r="N14" s="126"/>
      <c r="O14" s="126"/>
      <c r="P14" s="13"/>
      <c r="Q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</row>
    <row r="15" spans="1:53" ht="15.75" x14ac:dyDescent="0.25">
      <c r="A15" s="213" t="str">
        <f>References!$F$5</f>
        <v>Nb. Targets</v>
      </c>
      <c r="B15" s="213"/>
      <c r="C15" s="218">
        <v>1</v>
      </c>
      <c r="D15" s="218"/>
      <c r="E15" s="13"/>
      <c r="F15" s="13"/>
      <c r="G15" s="13"/>
      <c r="H15" s="13"/>
      <c r="I15" s="13"/>
      <c r="K15" s="126"/>
      <c r="L15" s="13"/>
      <c r="M15" s="13"/>
      <c r="N15" s="126"/>
      <c r="O15" s="126"/>
      <c r="P15" s="13"/>
      <c r="Q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</row>
    <row r="16" spans="1:53" ht="15.75" x14ac:dyDescent="0.25">
      <c r="A16" s="213" t="str">
        <f>References!$F$6</f>
        <v>Energy cost</v>
      </c>
      <c r="B16" s="213"/>
      <c r="C16" s="218">
        <v>1</v>
      </c>
      <c r="D16" s="218"/>
      <c r="E16" s="13"/>
      <c r="F16" s="13"/>
      <c r="G16" s="13"/>
      <c r="H16" s="13"/>
      <c r="I16" s="13"/>
      <c r="K16" s="126"/>
      <c r="L16" s="13"/>
      <c r="M16" s="13"/>
      <c r="N16" s="126"/>
      <c r="O16" s="126"/>
      <c r="P16" s="13"/>
      <c r="Q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</row>
    <row r="17" spans="1:53" ht="15.75" x14ac:dyDescent="0.25">
      <c r="A17" s="213" t="s">
        <v>111</v>
      </c>
      <c r="B17" s="213"/>
      <c r="C17" s="210">
        <v>1</v>
      </c>
      <c r="D17" s="210"/>
      <c r="E17" s="13"/>
      <c r="F17" s="13"/>
      <c r="G17" s="13"/>
      <c r="H17" s="13"/>
      <c r="I17" s="13"/>
      <c r="K17" s="154"/>
      <c r="L17" s="13"/>
      <c r="M17" s="13"/>
      <c r="N17" s="154"/>
      <c r="O17" s="154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</row>
    <row r="18" spans="1:53" ht="15.75" x14ac:dyDescent="0.25">
      <c r="A18" s="213" t="s">
        <v>110</v>
      </c>
      <c r="B18" s="213"/>
      <c r="C18" s="210">
        <v>0</v>
      </c>
      <c r="D18" s="210"/>
      <c r="E18" s="13"/>
      <c r="F18" s="13" t="s">
        <v>121</v>
      </c>
      <c r="G18" s="13">
        <f>_xlfn.FLOOR.MATH(10/IF(OR(C16=1,C16=0),2,C16))</f>
        <v>5</v>
      </c>
      <c r="K18" s="154"/>
      <c r="L18" s="13"/>
      <c r="M18" s="13"/>
      <c r="N18" s="154"/>
      <c r="O18" s="154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</row>
    <row r="19" spans="1:53" ht="16.5" thickBot="1" x14ac:dyDescent="0.3">
      <c r="A19" s="186" t="str">
        <f>References!$G$2</f>
        <v>Type</v>
      </c>
      <c r="B19" s="187" t="str">
        <f>References!$G$3</f>
        <v>Stat</v>
      </c>
      <c r="C19" s="188" t="str">
        <f>References!$G$7</f>
        <v>Nb</v>
      </c>
      <c r="D19" s="189" t="str">
        <f>References!$G$8</f>
        <v>Turns</v>
      </c>
      <c r="E19" s="155"/>
      <c r="F19" s="13" t="s">
        <v>119</v>
      </c>
      <c r="G19" s="176" t="s">
        <v>120</v>
      </c>
      <c r="H19" s="13" t="s">
        <v>123</v>
      </c>
      <c r="I19" s="176" t="s">
        <v>124</v>
      </c>
      <c r="L19" s="13"/>
      <c r="M19" s="152"/>
      <c r="N19" s="177"/>
      <c r="O19" s="155"/>
      <c r="P19" s="13"/>
      <c r="Q19" s="13"/>
      <c r="R19" s="152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</row>
    <row r="20" spans="1:53" ht="16.5" thickBot="1" x14ac:dyDescent="0.3">
      <c r="A20" s="127" t="str">
        <f>References!$C$2</f>
        <v>Direct</v>
      </c>
      <c r="B20" s="143" t="str">
        <f>References!$A$2</f>
        <v>dmg</v>
      </c>
      <c r="C20" s="144">
        <v>2</v>
      </c>
      <c r="D20" s="172"/>
      <c r="E20" s="154"/>
      <c r="F20" s="13">
        <f>(C20+(1*C18))*C15</f>
        <v>2</v>
      </c>
      <c r="G20">
        <f>IF(D20="",F20,F20*D20)</f>
        <v>2</v>
      </c>
      <c r="H20">
        <f>(C20-(1-C18)*1)*C15</f>
        <v>1</v>
      </c>
      <c r="I20">
        <f>IF(D20="",H20,H20*D20)</f>
        <v>1</v>
      </c>
      <c r="L20" s="13"/>
      <c r="M20" s="13"/>
      <c r="N20" s="154"/>
      <c r="O20" s="154"/>
      <c r="P20" s="13"/>
      <c r="Q20" s="13"/>
      <c r="R20" s="156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</row>
    <row r="21" spans="1:53" x14ac:dyDescent="0.25">
      <c r="E21" s="13"/>
      <c r="F21" s="13" t="s">
        <v>112</v>
      </c>
      <c r="G21">
        <f>SUM(G20)</f>
        <v>2</v>
      </c>
      <c r="I21" s="13">
        <f>SUM(I20)</f>
        <v>1</v>
      </c>
      <c r="J21" s="13"/>
      <c r="M21" s="13"/>
      <c r="N21" s="13"/>
      <c r="Q21" s="13"/>
      <c r="R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25">
      <c r="E22" s="13"/>
      <c r="F22" s="13"/>
      <c r="G22" s="13"/>
      <c r="H22" s="13"/>
      <c r="I22" s="13"/>
      <c r="K22" s="126"/>
      <c r="L22" s="13"/>
      <c r="M22" s="13"/>
      <c r="N22" s="126"/>
      <c r="O22" s="126"/>
      <c r="P22" s="13"/>
      <c r="Q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</row>
    <row r="23" spans="1:53" x14ac:dyDescent="0.25">
      <c r="E23" s="13"/>
      <c r="F23" s="152" t="s">
        <v>115</v>
      </c>
      <c r="G23" s="13" t="s">
        <v>114</v>
      </c>
      <c r="H23" s="192" t="s">
        <v>116</v>
      </c>
      <c r="I23" s="126" t="s">
        <v>113</v>
      </c>
      <c r="J23" s="152" t="s">
        <v>117</v>
      </c>
      <c r="K23" s="193" t="s">
        <v>122</v>
      </c>
      <c r="L23" s="126"/>
      <c r="O23" s="126"/>
      <c r="P23" s="13"/>
      <c r="Q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</row>
    <row r="24" spans="1:53" x14ac:dyDescent="0.25">
      <c r="E24" s="13"/>
      <c r="F24" s="13">
        <f>(G21/(20*C15))*100</f>
        <v>10</v>
      </c>
      <c r="G24" s="13">
        <f>G21*G18</f>
        <v>10</v>
      </c>
      <c r="H24">
        <f>(104.3421 + (9.456889 - 104.3421)/(1 + (G24/39.91202)^3.274503))/C15</f>
        <v>10.466690352821189</v>
      </c>
      <c r="I24" s="126">
        <f>G21/C16</f>
        <v>2</v>
      </c>
      <c r="J24" s="13">
        <f>(I24/20)*100</f>
        <v>10</v>
      </c>
      <c r="K24" s="13">
        <f>(0.3*F24)+(0.3*H24)+(0.4*J24)</f>
        <v>10.140007105846356</v>
      </c>
      <c r="N24" s="126"/>
      <c r="O24" s="126"/>
      <c r="P24" s="13"/>
      <c r="Q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</row>
    <row r="25" spans="1:53" x14ac:dyDescent="0.25">
      <c r="E25" s="13"/>
      <c r="F25" s="152" t="s">
        <v>115</v>
      </c>
      <c r="G25" s="13" t="s">
        <v>114</v>
      </c>
      <c r="H25" s="192" t="s">
        <v>116</v>
      </c>
      <c r="I25" s="126" t="s">
        <v>113</v>
      </c>
      <c r="J25" s="152" t="s">
        <v>117</v>
      </c>
      <c r="K25" s="193" t="s">
        <v>127</v>
      </c>
      <c r="N25" s="126"/>
      <c r="O25" s="126"/>
      <c r="P25" s="13"/>
      <c r="Q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</row>
    <row r="26" spans="1:53" x14ac:dyDescent="0.25">
      <c r="E26" s="13"/>
      <c r="F26" s="13">
        <f>(I21/(20*C15))*100</f>
        <v>5</v>
      </c>
      <c r="G26" s="13">
        <f>G18*I21</f>
        <v>5</v>
      </c>
      <c r="H26">
        <f>(104.3421 + (9.456889 - 104.3421)/(1 + (G26/39.91202)^3.274503))/C15</f>
        <v>9.5622491790338984</v>
      </c>
      <c r="I26" s="126">
        <f>I21/C16</f>
        <v>1</v>
      </c>
      <c r="J26" s="13">
        <f>(I26/20)*100</f>
        <v>5</v>
      </c>
      <c r="K26" s="13">
        <f>(0.3*F26)+(0.3*H26)+(0.4*J26)</f>
        <v>6.3686747537101693</v>
      </c>
      <c r="N26" s="126"/>
      <c r="O26" s="126"/>
      <c r="P26" s="13"/>
      <c r="Q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</row>
    <row r="27" spans="1:53" x14ac:dyDescent="0.25">
      <c r="E27" s="13"/>
      <c r="F27" s="152" t="s">
        <v>126</v>
      </c>
      <c r="G27" s="13">
        <f>(C17/5)*100</f>
        <v>20</v>
      </c>
      <c r="I27" s="126"/>
      <c r="J27" s="13"/>
      <c r="K27" s="13"/>
      <c r="N27" s="126"/>
      <c r="O27" s="126"/>
      <c r="P27" s="13"/>
      <c r="Q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</row>
    <row r="28" spans="1:53" x14ac:dyDescent="0.25">
      <c r="E28" s="13"/>
      <c r="F28" s="152" t="s">
        <v>118</v>
      </c>
      <c r="G28" s="13">
        <f>(0.25*K26)+(0.6*K24)+(0.15*G27)</f>
        <v>10.676172951935357</v>
      </c>
      <c r="I28" s="126"/>
      <c r="J28" s="13"/>
      <c r="K28" s="13"/>
      <c r="N28" s="126"/>
      <c r="O28" s="126"/>
      <c r="P28" s="13"/>
      <c r="Q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</row>
    <row r="29" spans="1:53" x14ac:dyDescent="0.25">
      <c r="E29" s="13"/>
      <c r="F29" s="13"/>
      <c r="G29" s="13"/>
      <c r="H29" s="13"/>
      <c r="I29" s="13"/>
      <c r="K29" s="126"/>
      <c r="L29" s="13"/>
      <c r="M29" s="13"/>
      <c r="N29" s="126"/>
      <c r="O29" s="126"/>
      <c r="P29" s="13"/>
      <c r="Q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</row>
    <row r="30" spans="1:53" ht="15.75" x14ac:dyDescent="0.25">
      <c r="A30" s="213" t="str">
        <f>References!$F$2</f>
        <v>Name</v>
      </c>
      <c r="B30" s="213"/>
      <c r="C30" s="218" t="s">
        <v>3</v>
      </c>
      <c r="D30" s="218"/>
      <c r="E30" s="13"/>
      <c r="F30" s="13"/>
      <c r="G30" s="13"/>
      <c r="H30" s="13"/>
      <c r="I30" s="13"/>
      <c r="K30" s="126"/>
      <c r="L30" s="13"/>
      <c r="M30" s="13"/>
      <c r="N30" s="126"/>
      <c r="O30" s="126"/>
      <c r="P30" s="13"/>
      <c r="Q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</row>
    <row r="31" spans="1:53" ht="15.75" x14ac:dyDescent="0.25">
      <c r="A31" s="213" t="str">
        <f>References!$F$3</f>
        <v>Class</v>
      </c>
      <c r="B31" s="213"/>
      <c r="C31" s="218" t="str">
        <f>References!$E$2</f>
        <v>Creature</v>
      </c>
      <c r="D31" s="218"/>
      <c r="E31" s="13"/>
      <c r="F31" s="13"/>
      <c r="G31" s="13"/>
      <c r="H31" s="13"/>
      <c r="I31" s="13">
        <f>_xlfn.FLOOR.MATH(10/IF(OR(C34=1,C34=0),2,C34))</f>
        <v>5</v>
      </c>
      <c r="K31" s="126"/>
      <c r="L31" s="13"/>
      <c r="M31" s="13"/>
      <c r="N31" s="126"/>
      <c r="O31" s="126"/>
      <c r="P31" s="13"/>
      <c r="Q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</row>
    <row r="32" spans="1:53" ht="15.75" x14ac:dyDescent="0.25">
      <c r="A32" s="213" t="str">
        <f>References!$F$4</f>
        <v>Type</v>
      </c>
      <c r="B32" s="213"/>
      <c r="C32" s="218" t="str">
        <f>References!$B$2</f>
        <v>Offensive</v>
      </c>
      <c r="D32" s="218"/>
      <c r="E32" s="13"/>
      <c r="F32" s="13"/>
      <c r="G32" s="13"/>
      <c r="H32" s="13"/>
      <c r="I32" s="13"/>
      <c r="K32" s="126"/>
      <c r="L32" s="13"/>
      <c r="M32" s="13"/>
      <c r="N32" s="126"/>
      <c r="O32" s="126"/>
      <c r="P32" s="13"/>
      <c r="Q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</row>
    <row r="33" spans="1:53" ht="15.75" x14ac:dyDescent="0.25">
      <c r="A33" s="213" t="str">
        <f>References!$F$5</f>
        <v>Nb. Targets</v>
      </c>
      <c r="B33" s="213"/>
      <c r="C33" s="218">
        <v>1</v>
      </c>
      <c r="D33" s="218"/>
      <c r="E33" s="13"/>
      <c r="F33" s="13"/>
      <c r="G33" s="13"/>
      <c r="H33" s="13"/>
      <c r="I33" s="13"/>
      <c r="K33" s="126"/>
      <c r="L33" s="13"/>
      <c r="M33" s="13"/>
      <c r="N33" s="126"/>
      <c r="O33" s="126"/>
      <c r="P33" s="13"/>
      <c r="Q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</row>
    <row r="34" spans="1:53" ht="15.75" x14ac:dyDescent="0.25">
      <c r="A34" s="213" t="str">
        <f>References!$F$6</f>
        <v>Energy cost</v>
      </c>
      <c r="B34" s="213"/>
      <c r="C34" s="218">
        <v>2</v>
      </c>
      <c r="D34" s="218"/>
      <c r="E34" s="154"/>
      <c r="F34" s="156"/>
      <c r="G34" s="156"/>
      <c r="H34" s="156"/>
      <c r="I34" s="13"/>
      <c r="K34" s="154"/>
      <c r="L34" s="13"/>
      <c r="M34" s="13"/>
      <c r="N34" s="154"/>
      <c r="O34" s="154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</row>
    <row r="35" spans="1:53" ht="15.75" x14ac:dyDescent="0.25">
      <c r="A35" s="213" t="s">
        <v>111</v>
      </c>
      <c r="B35" s="213"/>
      <c r="C35" s="210">
        <v>1</v>
      </c>
      <c r="D35" s="210"/>
      <c r="E35" s="13"/>
      <c r="F35" s="13"/>
      <c r="G35" s="13"/>
      <c r="H35" s="13"/>
      <c r="I35" s="13"/>
      <c r="K35" s="154"/>
      <c r="L35" s="13"/>
      <c r="M35" s="13"/>
      <c r="N35" s="154"/>
      <c r="O35" s="154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</row>
    <row r="36" spans="1:53" ht="15.75" x14ac:dyDescent="0.25">
      <c r="A36" s="213" t="s">
        <v>110</v>
      </c>
      <c r="B36" s="213"/>
      <c r="C36" s="210">
        <v>0</v>
      </c>
      <c r="D36" s="210"/>
      <c r="E36" s="13"/>
      <c r="F36" s="13" t="s">
        <v>121</v>
      </c>
      <c r="G36" s="13">
        <f>_xlfn.FLOOR.MATH(10/IF(OR(C34=1,C34=0),2,C34))</f>
        <v>5</v>
      </c>
      <c r="K36" s="154"/>
      <c r="L36" s="13"/>
      <c r="M36" s="13"/>
      <c r="N36" s="154"/>
      <c r="O36" s="154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</row>
    <row r="37" spans="1:53" ht="16.5" thickBot="1" x14ac:dyDescent="0.3">
      <c r="A37" s="186" t="str">
        <f>References!$G$2</f>
        <v>Type</v>
      </c>
      <c r="B37" s="187" t="str">
        <f>References!$G$3</f>
        <v>Stat</v>
      </c>
      <c r="C37" s="190" t="str">
        <f>References!$G$7</f>
        <v>Nb</v>
      </c>
      <c r="D37" s="189" t="str">
        <f>References!$G$8</f>
        <v>Turns</v>
      </c>
      <c r="E37" s="155"/>
      <c r="F37" s="13" t="s">
        <v>119</v>
      </c>
      <c r="G37" s="176" t="s">
        <v>120</v>
      </c>
      <c r="H37" s="13" t="s">
        <v>123</v>
      </c>
      <c r="I37" s="176" t="s">
        <v>124</v>
      </c>
      <c r="L37" s="13"/>
      <c r="M37" s="13"/>
      <c r="N37" s="155"/>
      <c r="O37" s="155"/>
      <c r="P37" s="13"/>
      <c r="Q37" s="13"/>
      <c r="R37" s="152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</row>
    <row r="38" spans="1:53" ht="16.5" thickBot="1" x14ac:dyDescent="0.3">
      <c r="A38" s="127" t="str">
        <f>References!$C$2</f>
        <v>Direct</v>
      </c>
      <c r="B38" s="143" t="str">
        <f>References!$A$2</f>
        <v>dmg</v>
      </c>
      <c r="C38" s="183">
        <v>3</v>
      </c>
      <c r="D38" s="172"/>
      <c r="E38" s="154"/>
      <c r="F38" s="13">
        <f>(C38+(1*C36))*C33</f>
        <v>3</v>
      </c>
      <c r="G38">
        <f>IF(D38="",F38,F38*D38)</f>
        <v>3</v>
      </c>
      <c r="H38">
        <f>(C38-(1-C36)*1)*C33</f>
        <v>2</v>
      </c>
      <c r="I38">
        <f>IF(D38="",H38,H38*D38)</f>
        <v>2</v>
      </c>
      <c r="L38" s="13"/>
      <c r="M38" s="13"/>
      <c r="N38" s="154"/>
      <c r="O38" s="154"/>
      <c r="P38" s="13"/>
      <c r="Q38" s="13"/>
      <c r="R38" s="156">
        <f>C38-(1-C36)*1</f>
        <v>2</v>
      </c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</row>
    <row r="39" spans="1:53" x14ac:dyDescent="0.25">
      <c r="E39" s="13"/>
      <c r="F39" s="13" t="s">
        <v>112</v>
      </c>
      <c r="G39">
        <f>SUM(G38)</f>
        <v>3</v>
      </c>
      <c r="I39" s="13">
        <f>SUM(I38)</f>
        <v>2</v>
      </c>
      <c r="J39" s="13"/>
      <c r="M39" s="13"/>
      <c r="N39" s="13"/>
      <c r="Q39" s="13"/>
      <c r="R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S39" s="13"/>
      <c r="AT39" s="13"/>
      <c r="AU39" s="13"/>
      <c r="AV39" s="13"/>
      <c r="AW39" s="13"/>
      <c r="AX39" s="13"/>
      <c r="AY39" s="13"/>
      <c r="AZ39" s="13"/>
      <c r="BA39" s="13"/>
    </row>
    <row r="40" spans="1:53" x14ac:dyDescent="0.25">
      <c r="E40" s="13"/>
      <c r="F40" s="13"/>
      <c r="G40" s="13"/>
      <c r="H40" s="13"/>
      <c r="I40" s="13"/>
      <c r="K40" s="126"/>
      <c r="L40" s="13"/>
      <c r="M40" s="13"/>
      <c r="N40" s="126"/>
      <c r="O40" s="126"/>
      <c r="P40" s="13"/>
      <c r="Q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</row>
    <row r="41" spans="1:53" x14ac:dyDescent="0.25">
      <c r="E41" s="13"/>
      <c r="F41" s="152" t="s">
        <v>115</v>
      </c>
      <c r="G41" s="13" t="s">
        <v>114</v>
      </c>
      <c r="H41" s="192" t="s">
        <v>116</v>
      </c>
      <c r="I41" s="126" t="s">
        <v>113</v>
      </c>
      <c r="J41" s="152" t="s">
        <v>117</v>
      </c>
      <c r="K41" s="193" t="s">
        <v>122</v>
      </c>
      <c r="L41" s="126"/>
      <c r="O41" s="126"/>
      <c r="P41" s="13"/>
      <c r="Q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</row>
    <row r="42" spans="1:53" x14ac:dyDescent="0.25">
      <c r="E42" s="13"/>
      <c r="F42" s="13">
        <f>(G39/(20*C33))*100</f>
        <v>15</v>
      </c>
      <c r="G42" s="13">
        <f>G39*G36</f>
        <v>15</v>
      </c>
      <c r="H42">
        <f>(104.3421 + (9.456889 - 104.3421)/(1 + (G42/39.91202)^3.274503))/C33</f>
        <v>13.157037540933331</v>
      </c>
      <c r="I42" s="126">
        <f>G39/C34</f>
        <v>1.5</v>
      </c>
      <c r="J42" s="13">
        <f>(I42/20)*100</f>
        <v>7.5</v>
      </c>
      <c r="K42" s="13">
        <f>(0.3*F42)+(0.3*H42)+(0.4*J42)</f>
        <v>11.44711126228</v>
      </c>
      <c r="N42" s="126"/>
      <c r="O42" s="126"/>
      <c r="P42" s="13"/>
      <c r="Q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</row>
    <row r="43" spans="1:53" x14ac:dyDescent="0.25">
      <c r="E43" s="13"/>
      <c r="F43" s="152" t="s">
        <v>115</v>
      </c>
      <c r="G43" s="13" t="s">
        <v>114</v>
      </c>
      <c r="H43" s="192" t="s">
        <v>116</v>
      </c>
      <c r="I43" s="126" t="s">
        <v>113</v>
      </c>
      <c r="J43" s="152" t="s">
        <v>117</v>
      </c>
      <c r="K43" s="193" t="s">
        <v>127</v>
      </c>
      <c r="N43" s="126"/>
      <c r="O43" s="126"/>
      <c r="P43" s="13"/>
      <c r="Q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</row>
    <row r="44" spans="1:53" x14ac:dyDescent="0.25">
      <c r="E44" s="13"/>
      <c r="F44" s="13">
        <f>(I39/(20*C33))*100</f>
        <v>10</v>
      </c>
      <c r="G44" s="13">
        <f>G36*I39</f>
        <v>10</v>
      </c>
      <c r="H44">
        <f>(104.3421 + (9.456889 - 104.3421)/(1 + (G44/39.91202)^3.274503))/C33</f>
        <v>10.466690352821189</v>
      </c>
      <c r="I44" s="126">
        <f>I39/C34</f>
        <v>1</v>
      </c>
      <c r="J44" s="13">
        <f>(I44/20)*100</f>
        <v>5</v>
      </c>
      <c r="K44" s="13">
        <f>(0.3*F44)+(0.3*H44)+(0.4*J44)</f>
        <v>8.1400071058463563</v>
      </c>
      <c r="N44" s="126"/>
      <c r="O44" s="126"/>
      <c r="P44" s="13"/>
      <c r="Q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</row>
    <row r="45" spans="1:53" x14ac:dyDescent="0.25">
      <c r="E45" s="13"/>
      <c r="F45" s="152" t="s">
        <v>126</v>
      </c>
      <c r="G45" s="13">
        <f>(C35/5)*100</f>
        <v>20</v>
      </c>
      <c r="I45" s="126"/>
      <c r="J45" s="13"/>
      <c r="K45" s="13"/>
      <c r="N45" s="126"/>
      <c r="O45" s="126"/>
      <c r="P45" s="13"/>
      <c r="Q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</row>
    <row r="46" spans="1:53" x14ac:dyDescent="0.25">
      <c r="E46" s="13"/>
      <c r="F46" s="152" t="s">
        <v>118</v>
      </c>
      <c r="G46" s="13">
        <f>(0.25*K44)+(0.6*K42)+(0.15*G45)</f>
        <v>11.903268533829589</v>
      </c>
      <c r="I46" s="126"/>
      <c r="J46" s="13"/>
      <c r="K46" s="13"/>
      <c r="N46" s="126"/>
      <c r="O46" s="126"/>
      <c r="P46" s="13"/>
      <c r="Q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</row>
    <row r="47" spans="1:53" x14ac:dyDescent="0.25">
      <c r="E47" s="13"/>
      <c r="F47" s="13"/>
      <c r="G47" s="13"/>
      <c r="H47" s="13"/>
      <c r="I47" s="13"/>
      <c r="K47" s="126"/>
      <c r="L47" s="13"/>
      <c r="M47" s="13"/>
      <c r="N47" s="126"/>
      <c r="O47" s="126"/>
      <c r="P47" s="13"/>
      <c r="Q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</row>
    <row r="48" spans="1:53" x14ac:dyDescent="0.25">
      <c r="E48" s="13"/>
      <c r="F48" s="13"/>
      <c r="G48" s="13"/>
      <c r="H48" s="13"/>
      <c r="I48" s="13"/>
      <c r="K48" s="126"/>
      <c r="L48" s="13"/>
      <c r="M48" s="13"/>
      <c r="N48" s="126"/>
      <c r="O48" s="126"/>
      <c r="P48" s="13"/>
      <c r="Q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</row>
    <row r="49" spans="1:53" ht="15.75" x14ac:dyDescent="0.25">
      <c r="A49" s="213" t="str">
        <f>References!$F$2</f>
        <v>Name</v>
      </c>
      <c r="B49" s="213"/>
      <c r="C49" s="218" t="s">
        <v>5</v>
      </c>
      <c r="D49" s="218"/>
      <c r="E49" s="13"/>
      <c r="F49" s="13"/>
      <c r="G49" s="13"/>
      <c r="H49" s="13"/>
      <c r="I49" s="13"/>
      <c r="K49" s="126"/>
      <c r="L49" s="13"/>
      <c r="M49" s="13"/>
      <c r="N49" s="126"/>
      <c r="O49" s="126"/>
      <c r="P49" s="13"/>
      <c r="Q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</row>
    <row r="50" spans="1:53" ht="15.75" x14ac:dyDescent="0.25">
      <c r="A50" s="213" t="str">
        <f>References!$F$3</f>
        <v>Class</v>
      </c>
      <c r="B50" s="213"/>
      <c r="C50" s="218" t="str">
        <f>References!$D$2</f>
        <v>Brawler</v>
      </c>
      <c r="D50" s="218"/>
      <c r="E50" s="13"/>
      <c r="F50" s="13"/>
      <c r="G50" s="13"/>
      <c r="H50" s="13"/>
      <c r="I50" s="13"/>
      <c r="K50" s="126"/>
      <c r="L50" s="13"/>
      <c r="M50" s="13"/>
      <c r="N50" s="126"/>
      <c r="O50" s="126"/>
      <c r="P50" s="13"/>
      <c r="Q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</row>
    <row r="51" spans="1:53" ht="15.75" x14ac:dyDescent="0.25">
      <c r="A51" s="213" t="str">
        <f>References!$F$4</f>
        <v>Type</v>
      </c>
      <c r="B51" s="213"/>
      <c r="C51" s="218" t="str">
        <f>References!$B$2</f>
        <v>Offensive</v>
      </c>
      <c r="D51" s="218"/>
      <c r="E51" s="13"/>
      <c r="F51" s="13"/>
      <c r="G51" s="13"/>
      <c r="H51" s="13"/>
      <c r="I51" s="13"/>
      <c r="K51" s="126"/>
      <c r="L51" s="13"/>
      <c r="M51" s="13"/>
      <c r="N51" s="126"/>
      <c r="O51" s="126"/>
      <c r="P51" s="13"/>
      <c r="Q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</row>
    <row r="52" spans="1:53" ht="15.75" x14ac:dyDescent="0.25">
      <c r="A52" s="213" t="str">
        <f>References!$F$5</f>
        <v>Nb. Targets</v>
      </c>
      <c r="B52" s="213"/>
      <c r="C52" s="218">
        <v>1</v>
      </c>
      <c r="D52" s="218"/>
      <c r="E52" s="13"/>
      <c r="F52" s="13"/>
      <c r="G52" s="13"/>
      <c r="H52" s="13"/>
      <c r="I52" s="13"/>
      <c r="K52" s="126"/>
      <c r="L52" s="13"/>
      <c r="M52" s="13"/>
      <c r="N52" s="126"/>
      <c r="O52" s="126"/>
      <c r="P52" s="13"/>
      <c r="Q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</row>
    <row r="53" spans="1:53" ht="15.75" x14ac:dyDescent="0.25">
      <c r="A53" s="213" t="str">
        <f>References!$F$6</f>
        <v>Energy cost</v>
      </c>
      <c r="B53" s="213"/>
      <c r="C53" s="218">
        <v>1</v>
      </c>
      <c r="D53" s="218"/>
      <c r="E53" s="154"/>
      <c r="F53" s="156"/>
      <c r="G53" s="156"/>
      <c r="H53" s="156"/>
      <c r="I53" s="13"/>
      <c r="K53" s="154"/>
      <c r="L53" s="13"/>
      <c r="M53" s="13"/>
      <c r="N53" s="154"/>
      <c r="O53" s="154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</row>
    <row r="54" spans="1:53" ht="15.75" x14ac:dyDescent="0.25">
      <c r="A54" s="213" t="s">
        <v>111</v>
      </c>
      <c r="B54" s="213"/>
      <c r="C54" s="210">
        <v>1</v>
      </c>
      <c r="D54" s="210"/>
      <c r="E54" s="13"/>
      <c r="F54" s="13"/>
      <c r="G54" s="13"/>
      <c r="H54" s="13"/>
      <c r="I54" s="13"/>
      <c r="K54" s="154"/>
      <c r="L54" s="13"/>
      <c r="M54" s="13"/>
      <c r="N54" s="154"/>
      <c r="O54" s="154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</row>
    <row r="55" spans="1:53" ht="15.75" x14ac:dyDescent="0.25">
      <c r="A55" s="213" t="s">
        <v>110</v>
      </c>
      <c r="B55" s="213"/>
      <c r="C55" s="210">
        <v>0.66700000000000004</v>
      </c>
      <c r="D55" s="210"/>
      <c r="E55" s="13"/>
      <c r="F55" s="13" t="s">
        <v>121</v>
      </c>
      <c r="G55" s="13">
        <f>_xlfn.FLOOR.MATH(10/IF(OR(C53=1,C53=0),2,C53))</f>
        <v>5</v>
      </c>
      <c r="K55" s="154"/>
      <c r="L55" s="13"/>
      <c r="M55" s="13"/>
      <c r="N55" s="154"/>
      <c r="O55" s="154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</row>
    <row r="56" spans="1:53" ht="16.5" thickBot="1" x14ac:dyDescent="0.3">
      <c r="A56" s="186" t="str">
        <f>References!$G$2</f>
        <v>Type</v>
      </c>
      <c r="B56" s="187" t="str">
        <f>References!$G$3</f>
        <v>Stat</v>
      </c>
      <c r="C56" s="190" t="str">
        <f>References!$G$7</f>
        <v>Nb</v>
      </c>
      <c r="D56" s="189" t="str">
        <f>References!$G$8</f>
        <v>Turns</v>
      </c>
      <c r="E56" s="155"/>
      <c r="F56" s="13" t="s">
        <v>119</v>
      </c>
      <c r="G56" s="176" t="s">
        <v>120</v>
      </c>
      <c r="H56" s="13" t="s">
        <v>123</v>
      </c>
      <c r="I56" s="176" t="s">
        <v>124</v>
      </c>
      <c r="L56" s="13"/>
      <c r="M56" s="13"/>
      <c r="N56" s="155"/>
      <c r="O56" s="155"/>
      <c r="P56" s="13"/>
      <c r="Q56" s="13"/>
      <c r="R56" s="152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</row>
    <row r="57" spans="1:53" ht="16.5" thickBot="1" x14ac:dyDescent="0.3">
      <c r="A57" s="127" t="str">
        <f>References!$C$2</f>
        <v>Direct</v>
      </c>
      <c r="B57" s="143" t="str">
        <f>References!$A$2</f>
        <v>dmg</v>
      </c>
      <c r="C57" s="183">
        <v>2</v>
      </c>
      <c r="D57" s="172"/>
      <c r="E57" s="154"/>
      <c r="F57" s="13">
        <f>(C57+(1*C55))*C52</f>
        <v>2.6669999999999998</v>
      </c>
      <c r="G57">
        <f>IF(D57="",F57,F57*D57)</f>
        <v>2.6669999999999998</v>
      </c>
      <c r="H57">
        <f>(C57-(1-C55)*1)*C52</f>
        <v>1.667</v>
      </c>
      <c r="I57">
        <f>IF(D57="",H57,H57*D57)</f>
        <v>1.667</v>
      </c>
      <c r="L57" s="13"/>
      <c r="M57" s="13"/>
      <c r="N57" s="154"/>
      <c r="O57" s="154"/>
      <c r="P57" s="13"/>
      <c r="Q57" s="13"/>
      <c r="R57" s="156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</row>
    <row r="58" spans="1:53" x14ac:dyDescent="0.25">
      <c r="E58" s="13"/>
      <c r="F58" s="13" t="s">
        <v>112</v>
      </c>
      <c r="G58">
        <f>SUM(G57)</f>
        <v>2.6669999999999998</v>
      </c>
      <c r="I58" s="13">
        <f>SUM(I57)</f>
        <v>1.667</v>
      </c>
      <c r="J58" s="13"/>
      <c r="M58" s="13"/>
      <c r="N58" s="13"/>
      <c r="Q58" s="13"/>
      <c r="R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S58" s="13"/>
      <c r="AT58" s="13"/>
      <c r="AU58" s="13"/>
      <c r="AV58" s="13"/>
      <c r="AW58" s="13"/>
      <c r="AX58" s="13"/>
      <c r="AY58" s="13"/>
      <c r="AZ58" s="13"/>
      <c r="BA58" s="13"/>
    </row>
    <row r="59" spans="1:53" x14ac:dyDescent="0.25">
      <c r="E59" s="13"/>
      <c r="F59" s="13"/>
      <c r="G59" s="13"/>
      <c r="H59" s="13"/>
      <c r="I59" s="13"/>
      <c r="K59" s="126"/>
      <c r="L59" s="13"/>
      <c r="M59" s="13"/>
      <c r="N59" s="126"/>
      <c r="O59" s="126"/>
      <c r="P59" s="13"/>
      <c r="Q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</row>
    <row r="60" spans="1:53" x14ac:dyDescent="0.25">
      <c r="E60" s="13"/>
      <c r="F60" s="152" t="s">
        <v>115</v>
      </c>
      <c r="G60" s="13" t="s">
        <v>114</v>
      </c>
      <c r="H60" s="192" t="s">
        <v>116</v>
      </c>
      <c r="I60" s="126" t="s">
        <v>113</v>
      </c>
      <c r="J60" s="152" t="s">
        <v>117</v>
      </c>
      <c r="K60" s="193" t="s">
        <v>122</v>
      </c>
      <c r="L60" s="126"/>
      <c r="O60" s="126"/>
      <c r="P60" s="13"/>
      <c r="Q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</row>
    <row r="61" spans="1:53" x14ac:dyDescent="0.25">
      <c r="E61" s="13"/>
      <c r="F61" s="13">
        <f>(G58/(20*C52))*100</f>
        <v>13.334999999999999</v>
      </c>
      <c r="G61" s="13">
        <f>G58*G55</f>
        <v>13.334999999999999</v>
      </c>
      <c r="H61">
        <f>(104.3421 + (9.456889 - 104.3421)/(1 + (G61/39.91202)^3.274503))/C52</f>
        <v>12.005753843716406</v>
      </c>
      <c r="I61" s="126">
        <f>G58/C53</f>
        <v>2.6669999999999998</v>
      </c>
      <c r="J61" s="13">
        <f>(I61/20)*100</f>
        <v>13.334999999999999</v>
      </c>
      <c r="K61" s="13">
        <f>(0.3*F61)+(0.3*H61)+(0.4*J61)</f>
        <v>12.936226153114921</v>
      </c>
      <c r="L61" s="13"/>
      <c r="M61" s="13"/>
      <c r="N61" s="126"/>
      <c r="O61" s="126"/>
      <c r="P61" s="13"/>
      <c r="Q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</row>
    <row r="62" spans="1:53" x14ac:dyDescent="0.25">
      <c r="E62" s="13"/>
      <c r="F62" s="152" t="s">
        <v>115</v>
      </c>
      <c r="G62" s="13" t="s">
        <v>114</v>
      </c>
      <c r="H62" s="192" t="s">
        <v>116</v>
      </c>
      <c r="I62" s="126" t="s">
        <v>113</v>
      </c>
      <c r="J62" s="152" t="s">
        <v>117</v>
      </c>
      <c r="K62" s="193" t="s">
        <v>127</v>
      </c>
      <c r="N62" s="126"/>
      <c r="O62" s="126"/>
      <c r="P62" s="13"/>
      <c r="Q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</row>
    <row r="63" spans="1:53" x14ac:dyDescent="0.25">
      <c r="E63" s="13"/>
      <c r="F63" s="13">
        <f>(I58/(20*C52))*100</f>
        <v>8.3350000000000009</v>
      </c>
      <c r="G63" s="13">
        <f>G55*I58</f>
        <v>8.3350000000000009</v>
      </c>
      <c r="H63">
        <f>(104.3421 + (9.456889 - 104.3421)/(1 + (G63/39.91202)^3.274503))/C52</f>
        <v>10.015773657071179</v>
      </c>
      <c r="I63" s="126">
        <f>I58/C53</f>
        <v>1.667</v>
      </c>
      <c r="J63" s="13">
        <f>(I63/20)*100</f>
        <v>8.3350000000000009</v>
      </c>
      <c r="K63" s="13">
        <f>(0.3*F63)+(0.3*H63)+(0.4*J63)</f>
        <v>8.8392320971213536</v>
      </c>
      <c r="N63" s="126"/>
      <c r="O63" s="126"/>
      <c r="P63" s="13"/>
      <c r="Q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</row>
    <row r="64" spans="1:53" x14ac:dyDescent="0.25">
      <c r="E64" s="13"/>
      <c r="F64" s="152" t="s">
        <v>126</v>
      </c>
      <c r="G64" s="13">
        <f>(C54/5)*100</f>
        <v>20</v>
      </c>
      <c r="I64" s="126"/>
      <c r="J64" s="13"/>
      <c r="K64" s="13"/>
      <c r="N64" s="126"/>
      <c r="O64" s="126"/>
      <c r="P64" s="13"/>
      <c r="Q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</row>
    <row r="65" spans="1:53" x14ac:dyDescent="0.25">
      <c r="E65" s="13"/>
      <c r="F65" s="152" t="s">
        <v>118</v>
      </c>
      <c r="G65" s="13">
        <f>(0.25*K63)+(0.6*K61)+(0.15*G64)</f>
        <v>12.971543716149291</v>
      </c>
      <c r="I65" s="126"/>
      <c r="J65" s="13"/>
      <c r="K65" s="13"/>
      <c r="N65" s="126"/>
      <c r="O65" s="126"/>
      <c r="P65" s="13"/>
      <c r="Q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</row>
    <row r="66" spans="1:53" x14ac:dyDescent="0.25">
      <c r="E66" s="13"/>
      <c r="F66" s="13"/>
      <c r="G66" s="13"/>
      <c r="H66" s="13"/>
      <c r="I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</row>
    <row r="67" spans="1:53" x14ac:dyDescent="0.25">
      <c r="E67" s="13"/>
      <c r="F67" s="13"/>
      <c r="G67" s="13"/>
      <c r="H67" s="13"/>
      <c r="I67" s="13"/>
      <c r="K67" s="126"/>
      <c r="L67" s="13"/>
      <c r="M67" s="13"/>
      <c r="N67" s="126"/>
      <c r="O67" s="126"/>
      <c r="P67" s="13"/>
      <c r="Q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</row>
    <row r="68" spans="1:53" ht="15.75" x14ac:dyDescent="0.25">
      <c r="A68" s="213" t="str">
        <f>References!$F$2</f>
        <v>Name</v>
      </c>
      <c r="B68" s="213"/>
      <c r="C68" s="218" t="s">
        <v>6</v>
      </c>
      <c r="D68" s="218"/>
      <c r="E68" s="13"/>
      <c r="F68" s="13"/>
      <c r="G68" s="13"/>
      <c r="H68" s="13"/>
      <c r="I68" s="13"/>
      <c r="K68" s="126"/>
      <c r="L68" s="13"/>
      <c r="M68" s="13"/>
      <c r="N68" s="126"/>
      <c r="O68" s="126"/>
      <c r="P68" s="13"/>
      <c r="Q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</row>
    <row r="69" spans="1:53" ht="15.75" x14ac:dyDescent="0.25">
      <c r="A69" s="213" t="str">
        <f>References!$F$3</f>
        <v>Class</v>
      </c>
      <c r="B69" s="213"/>
      <c r="C69" s="218" t="str">
        <f>References!$D$2</f>
        <v>Brawler</v>
      </c>
      <c r="D69" s="218"/>
      <c r="E69" s="13"/>
      <c r="F69" s="13"/>
      <c r="G69" s="13"/>
      <c r="H69" s="13"/>
      <c r="I69" s="13"/>
      <c r="K69" s="126"/>
      <c r="L69" s="13"/>
      <c r="M69" s="13"/>
      <c r="N69" s="126"/>
      <c r="O69" s="126"/>
      <c r="P69" s="13"/>
      <c r="Q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</row>
    <row r="70" spans="1:53" ht="15.75" x14ac:dyDescent="0.25">
      <c r="A70" s="213" t="str">
        <f>References!$F$4</f>
        <v>Type</v>
      </c>
      <c r="B70" s="213"/>
      <c r="C70" s="218" t="str">
        <f>References!$B$3</f>
        <v>Defensive</v>
      </c>
      <c r="D70" s="218"/>
      <c r="E70" s="13"/>
      <c r="F70" s="13"/>
      <c r="G70" s="13"/>
      <c r="H70" s="13"/>
      <c r="I70" s="13"/>
      <c r="K70" s="126"/>
      <c r="L70" s="13"/>
      <c r="M70" s="13"/>
      <c r="N70" s="126"/>
      <c r="O70" s="126"/>
      <c r="P70" s="13"/>
      <c r="Q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</row>
    <row r="71" spans="1:53" ht="15.75" x14ac:dyDescent="0.25">
      <c r="A71" s="213" t="str">
        <f>References!$F$5</f>
        <v>Nb. Targets</v>
      </c>
      <c r="B71" s="213"/>
      <c r="C71" s="218">
        <v>1</v>
      </c>
      <c r="D71" s="218"/>
      <c r="E71" s="13"/>
      <c r="F71" s="13"/>
      <c r="G71" s="13"/>
      <c r="H71" s="13"/>
      <c r="I71" s="13"/>
      <c r="K71" s="126"/>
      <c r="L71" s="13"/>
      <c r="M71" s="13"/>
      <c r="N71" s="126"/>
      <c r="O71" s="126"/>
      <c r="P71" s="13"/>
      <c r="Q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</row>
    <row r="72" spans="1:53" ht="15.75" x14ac:dyDescent="0.25">
      <c r="A72" s="213" t="str">
        <f>References!$F$6</f>
        <v>Energy cost</v>
      </c>
      <c r="B72" s="213"/>
      <c r="C72" s="218">
        <v>1</v>
      </c>
      <c r="D72" s="218"/>
      <c r="E72" s="154"/>
      <c r="F72" s="156"/>
      <c r="G72" s="156"/>
      <c r="H72" s="156"/>
      <c r="I72" s="13"/>
      <c r="K72" s="154"/>
      <c r="L72" s="13"/>
      <c r="M72" s="13"/>
      <c r="N72" s="154"/>
      <c r="O72" s="154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</row>
    <row r="73" spans="1:53" ht="15.75" x14ac:dyDescent="0.25">
      <c r="A73" s="213" t="s">
        <v>111</v>
      </c>
      <c r="B73" s="213"/>
      <c r="C73" s="210">
        <v>1</v>
      </c>
      <c r="D73" s="210"/>
      <c r="E73" s="13"/>
      <c r="F73" s="13"/>
      <c r="G73" s="13"/>
      <c r="H73" s="13"/>
      <c r="I73" s="13"/>
      <c r="K73" s="154"/>
      <c r="L73" s="13"/>
      <c r="M73" s="13"/>
      <c r="N73" s="154"/>
      <c r="O73" s="154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</row>
    <row r="74" spans="1:53" ht="15.75" x14ac:dyDescent="0.25">
      <c r="A74" s="213" t="s">
        <v>110</v>
      </c>
      <c r="B74" s="213"/>
      <c r="C74" s="210">
        <v>0</v>
      </c>
      <c r="D74" s="210"/>
      <c r="E74" s="13"/>
      <c r="F74" s="13" t="s">
        <v>121</v>
      </c>
      <c r="G74" s="13">
        <f>_xlfn.FLOOR.MATH(10/IF(OR(C72=1,C72=0),2,C72))</f>
        <v>5</v>
      </c>
      <c r="K74" s="154"/>
      <c r="L74" s="13"/>
      <c r="M74" s="13"/>
      <c r="N74" s="154"/>
      <c r="O74" s="154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</row>
    <row r="75" spans="1:53" ht="16.5" thickBot="1" x14ac:dyDescent="0.3">
      <c r="A75" s="186" t="str">
        <f>References!$G$2</f>
        <v>Type</v>
      </c>
      <c r="B75" s="187" t="str">
        <f>References!$G$3</f>
        <v>Stat</v>
      </c>
      <c r="C75" s="190" t="str">
        <f>References!$G$7</f>
        <v>Nb</v>
      </c>
      <c r="D75" s="189" t="str">
        <f>References!$G$8</f>
        <v>Turns</v>
      </c>
      <c r="E75" s="155"/>
      <c r="F75" s="13" t="s">
        <v>119</v>
      </c>
      <c r="G75" s="176" t="s">
        <v>120</v>
      </c>
      <c r="H75" s="13" t="s">
        <v>123</v>
      </c>
      <c r="I75" s="176" t="s">
        <v>124</v>
      </c>
      <c r="K75" s="155"/>
      <c r="L75" s="13"/>
      <c r="M75" s="13"/>
      <c r="N75" s="155"/>
      <c r="O75" s="155"/>
      <c r="P75" s="13"/>
      <c r="Q75" s="13"/>
      <c r="R75" s="152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</row>
    <row r="76" spans="1:53" ht="16.5" thickBot="1" x14ac:dyDescent="0.3">
      <c r="A76" s="129" t="str">
        <f>References!$C$2</f>
        <v>Direct</v>
      </c>
      <c r="B76" s="139" t="str">
        <f>References!$A$5</f>
        <v>def</v>
      </c>
      <c r="C76" s="184">
        <v>1</v>
      </c>
      <c r="D76" s="180"/>
      <c r="E76" s="154"/>
      <c r="F76" s="13">
        <f>(C76+(1*C74))*C71</f>
        <v>1</v>
      </c>
      <c r="G76">
        <f>IF(D76="",F76,F76*D76)</f>
        <v>1</v>
      </c>
      <c r="H76">
        <f>(C76-(1-C74)*1)*C71</f>
        <v>0</v>
      </c>
      <c r="I76">
        <f>IF(D76="",H76,H76*D76)</f>
        <v>0</v>
      </c>
      <c r="K76" s="154"/>
      <c r="L76" s="13"/>
      <c r="M76" s="13"/>
      <c r="N76" s="154"/>
      <c r="O76" s="154"/>
      <c r="P76" s="13"/>
      <c r="Q76" s="13"/>
      <c r="R76" s="156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</row>
    <row r="77" spans="1:53" ht="16.5" thickBot="1" x14ac:dyDescent="0.3">
      <c r="A77" s="129" t="str">
        <f>References!$C$3</f>
        <v>Temp</v>
      </c>
      <c r="B77" s="139" t="str">
        <f>References!$A$5</f>
        <v>def</v>
      </c>
      <c r="C77" s="184">
        <v>1</v>
      </c>
      <c r="D77" s="185">
        <v>2</v>
      </c>
      <c r="E77" s="154"/>
      <c r="F77" s="13">
        <f>(C77+(1*C74))*C71</f>
        <v>1</v>
      </c>
      <c r="G77">
        <f>IF(D77="",F77,F77*D77)</f>
        <v>2</v>
      </c>
      <c r="H77">
        <f>(C77-(1-C74)*1)*C71</f>
        <v>0</v>
      </c>
      <c r="I77">
        <f>IF(D77="",H77,H77*D77)</f>
        <v>0</v>
      </c>
      <c r="K77" s="154"/>
      <c r="L77" s="13"/>
      <c r="M77" s="13"/>
      <c r="N77" s="154"/>
      <c r="O77" s="154"/>
      <c r="P77" s="13"/>
      <c r="Q77" s="13"/>
      <c r="R77" s="156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</row>
    <row r="78" spans="1:53" x14ac:dyDescent="0.25">
      <c r="E78" s="13"/>
      <c r="F78" s="13" t="s">
        <v>112</v>
      </c>
      <c r="G78">
        <f>SUM(G76:G77)</f>
        <v>3</v>
      </c>
      <c r="I78" s="13">
        <f>SUM(I76:I77)</f>
        <v>0</v>
      </c>
      <c r="J78" s="13"/>
      <c r="M78" s="13"/>
      <c r="N78" s="13"/>
      <c r="Q78" s="13"/>
      <c r="R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S78" s="13"/>
      <c r="AT78" s="13"/>
      <c r="AU78" s="13"/>
      <c r="AV78" s="13"/>
      <c r="AW78" s="13"/>
      <c r="AX78" s="13"/>
      <c r="AY78" s="13"/>
      <c r="AZ78" s="13"/>
      <c r="BA78" s="13"/>
    </row>
    <row r="79" spans="1:53" x14ac:dyDescent="0.25">
      <c r="E79" s="13"/>
      <c r="F79" s="13"/>
      <c r="G79" s="13"/>
      <c r="H79" s="13"/>
      <c r="I79" s="13"/>
      <c r="K79" s="126"/>
      <c r="L79" s="13"/>
      <c r="M79" s="13"/>
      <c r="N79" s="126"/>
      <c r="O79" s="126"/>
      <c r="P79" s="13"/>
      <c r="Q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</row>
    <row r="80" spans="1:53" x14ac:dyDescent="0.25">
      <c r="E80" s="13"/>
      <c r="F80" s="152" t="s">
        <v>115</v>
      </c>
      <c r="G80" s="13" t="s">
        <v>114</v>
      </c>
      <c r="H80" s="192" t="s">
        <v>116</v>
      </c>
      <c r="I80" s="126" t="s">
        <v>113</v>
      </c>
      <c r="J80" s="152" t="s">
        <v>117</v>
      </c>
      <c r="K80" s="193" t="s">
        <v>122</v>
      </c>
      <c r="L80" s="126"/>
      <c r="O80" s="126"/>
      <c r="P80" s="13"/>
      <c r="Q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</row>
    <row r="81" spans="1:53" x14ac:dyDescent="0.25">
      <c r="E81" s="13"/>
      <c r="F81" s="13">
        <f>(G78/(20*C71))*100</f>
        <v>15</v>
      </c>
      <c r="G81" s="13">
        <f>G78*G74</f>
        <v>15</v>
      </c>
      <c r="H81">
        <f>(104.3421 + (9.456889 - 104.3421)/(1 + (G81/39.91202)^3.274503))/C71</f>
        <v>13.157037540933331</v>
      </c>
      <c r="I81" s="126">
        <f>G78/C72</f>
        <v>3</v>
      </c>
      <c r="J81" s="13">
        <f>(I81/20)*100</f>
        <v>15</v>
      </c>
      <c r="K81" s="13">
        <f>(0.3*F81)+(0.3*H81)+(0.4*J81)</f>
        <v>14.44711126228</v>
      </c>
      <c r="N81" s="126"/>
      <c r="O81" s="126"/>
      <c r="P81" s="13"/>
      <c r="Q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</row>
    <row r="82" spans="1:53" x14ac:dyDescent="0.25">
      <c r="E82" s="13"/>
      <c r="F82" s="152" t="s">
        <v>115</v>
      </c>
      <c r="G82" s="13" t="s">
        <v>114</v>
      </c>
      <c r="H82" s="192" t="s">
        <v>116</v>
      </c>
      <c r="I82" s="126" t="s">
        <v>113</v>
      </c>
      <c r="J82" s="152" t="s">
        <v>117</v>
      </c>
      <c r="K82" s="193" t="s">
        <v>127</v>
      </c>
      <c r="N82" s="126"/>
      <c r="O82" s="126"/>
      <c r="P82" s="13"/>
      <c r="Q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</row>
    <row r="83" spans="1:53" x14ac:dyDescent="0.25">
      <c r="E83" s="13"/>
      <c r="F83" s="13">
        <f>(I78/(20*C71))*100</f>
        <v>0</v>
      </c>
      <c r="G83" s="13">
        <f>I78*G74</f>
        <v>0</v>
      </c>
      <c r="H83">
        <f>(104.3421 + (9.456889 - 104.3421)/(1 + (G83/39.91202)^3.274503))/C71</f>
        <v>9.4568890000000039</v>
      </c>
      <c r="I83" s="126">
        <f>I78/C72</f>
        <v>0</v>
      </c>
      <c r="J83" s="13">
        <f>(I83/20)*100</f>
        <v>0</v>
      </c>
      <c r="K83" s="13">
        <f>(0.3*F83)+(0.3*H83)+(0.4*J83)</f>
        <v>2.8370667000000012</v>
      </c>
      <c r="N83" s="126"/>
      <c r="O83" s="126"/>
      <c r="P83" s="13"/>
      <c r="Q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</row>
    <row r="84" spans="1:53" x14ac:dyDescent="0.25">
      <c r="E84" s="13"/>
      <c r="F84" s="152" t="s">
        <v>126</v>
      </c>
      <c r="G84" s="13">
        <f>(C73/5)*100</f>
        <v>20</v>
      </c>
      <c r="I84" s="126"/>
      <c r="J84" s="13"/>
      <c r="K84" s="13"/>
      <c r="N84" s="126"/>
      <c r="O84" s="126"/>
      <c r="P84" s="13"/>
      <c r="Q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</row>
    <row r="85" spans="1:53" x14ac:dyDescent="0.25">
      <c r="E85" s="13"/>
      <c r="F85" s="152" t="s">
        <v>118</v>
      </c>
      <c r="G85" s="13">
        <f>(0.25*K83)+(0.6*K81)+(0.15*G84)</f>
        <v>12.377533432368001</v>
      </c>
      <c r="I85" s="126"/>
      <c r="J85" s="13"/>
      <c r="K85" s="13"/>
      <c r="N85" s="126"/>
      <c r="O85" s="126"/>
      <c r="P85" s="13"/>
      <c r="Q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</row>
    <row r="86" spans="1:53" x14ac:dyDescent="0.25">
      <c r="E86" s="13"/>
      <c r="F86" s="13"/>
      <c r="G86" s="13"/>
      <c r="H86" s="13"/>
      <c r="I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</row>
    <row r="87" spans="1:53" x14ac:dyDescent="0.25">
      <c r="K87" s="126"/>
      <c r="L87" s="13"/>
      <c r="M87" s="13"/>
      <c r="N87" s="126"/>
      <c r="O87" s="126"/>
      <c r="P87" s="13"/>
      <c r="Q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</row>
    <row r="88" spans="1:53" ht="15.75" x14ac:dyDescent="0.25">
      <c r="A88" s="213" t="str">
        <f>References!$F$2</f>
        <v>Name</v>
      </c>
      <c r="B88" s="213"/>
      <c r="C88" s="218" t="s">
        <v>13</v>
      </c>
      <c r="D88" s="218"/>
      <c r="K88" s="126"/>
      <c r="L88" s="13"/>
      <c r="M88" s="13"/>
      <c r="N88" s="126"/>
      <c r="O88" s="126"/>
      <c r="P88" s="13"/>
      <c r="Q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</row>
    <row r="89" spans="1:53" ht="15.75" x14ac:dyDescent="0.25">
      <c r="A89" s="213" t="str">
        <f>References!$F$3</f>
        <v>Class</v>
      </c>
      <c r="B89" s="213"/>
      <c r="C89" s="218" t="str">
        <f>References!$E$3</f>
        <v>Mercenary</v>
      </c>
      <c r="D89" s="218"/>
      <c r="K89" s="126"/>
      <c r="L89" s="13"/>
      <c r="M89" s="13"/>
      <c r="N89" s="126"/>
      <c r="O89" s="126"/>
      <c r="P89" s="13"/>
      <c r="Q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</row>
    <row r="90" spans="1:53" ht="15.75" x14ac:dyDescent="0.25">
      <c r="A90" s="213" t="str">
        <f>References!$F$4</f>
        <v>Type</v>
      </c>
      <c r="B90" s="213"/>
      <c r="C90" s="218" t="str">
        <f>References!$B$2</f>
        <v>Offensive</v>
      </c>
      <c r="D90" s="218"/>
      <c r="K90" s="126"/>
      <c r="L90" s="13"/>
      <c r="M90" s="13"/>
      <c r="N90" s="126"/>
      <c r="O90" s="126"/>
      <c r="P90" s="13"/>
      <c r="Q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</row>
    <row r="91" spans="1:53" ht="15.75" x14ac:dyDescent="0.25">
      <c r="A91" s="213" t="str">
        <f>References!$F$5</f>
        <v>Nb. Targets</v>
      </c>
      <c r="B91" s="213"/>
      <c r="C91" s="218">
        <v>1</v>
      </c>
      <c r="D91" s="218"/>
      <c r="K91" s="126"/>
      <c r="L91" s="13"/>
      <c r="M91" s="13"/>
      <c r="N91" s="126"/>
      <c r="O91" s="126"/>
      <c r="P91" s="13"/>
      <c r="Q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</row>
    <row r="92" spans="1:53" ht="15.75" x14ac:dyDescent="0.25">
      <c r="A92" s="213" t="str">
        <f>References!$F$6</f>
        <v>Energy cost</v>
      </c>
      <c r="B92" s="213"/>
      <c r="C92" s="218">
        <v>2</v>
      </c>
      <c r="D92" s="218"/>
      <c r="E92" s="154"/>
      <c r="F92" s="156"/>
      <c r="G92" s="156"/>
      <c r="H92" s="156"/>
      <c r="I92" s="13"/>
      <c r="K92" s="154"/>
      <c r="L92" s="13"/>
      <c r="M92" s="13"/>
      <c r="N92" s="154"/>
      <c r="O92" s="154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</row>
    <row r="93" spans="1:53" ht="15.75" x14ac:dyDescent="0.25">
      <c r="A93" s="213" t="s">
        <v>111</v>
      </c>
      <c r="B93" s="213"/>
      <c r="C93" s="210">
        <v>1</v>
      </c>
      <c r="D93" s="210"/>
      <c r="E93" s="13"/>
      <c r="F93" s="13"/>
      <c r="G93" s="13"/>
      <c r="H93" s="13"/>
      <c r="I93" s="13"/>
      <c r="K93" s="154"/>
      <c r="L93" s="13"/>
      <c r="M93" s="13"/>
      <c r="N93" s="154"/>
      <c r="O93" s="154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</row>
    <row r="94" spans="1:53" ht="15.75" x14ac:dyDescent="0.25">
      <c r="A94" s="213" t="s">
        <v>110</v>
      </c>
      <c r="B94" s="213"/>
      <c r="C94" s="210">
        <v>0.33</v>
      </c>
      <c r="D94" s="210"/>
      <c r="E94" s="13"/>
      <c r="F94" s="13" t="s">
        <v>121</v>
      </c>
      <c r="G94" s="13">
        <f>_xlfn.FLOOR.MATH(10/IF(OR(C92=1,C92=0),2,C92))</f>
        <v>5</v>
      </c>
      <c r="K94" s="154"/>
      <c r="L94" s="13"/>
      <c r="M94" s="13"/>
      <c r="N94" s="154"/>
      <c r="O94" s="154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</row>
    <row r="95" spans="1:53" ht="16.5" thickBot="1" x14ac:dyDescent="0.3">
      <c r="A95" s="186" t="str">
        <f>References!$G$2</f>
        <v>Type</v>
      </c>
      <c r="B95" s="187" t="str">
        <f>References!$G$3</f>
        <v>Stat</v>
      </c>
      <c r="C95" s="188" t="str">
        <f>References!$G$7</f>
        <v>Nb</v>
      </c>
      <c r="D95" s="189" t="str">
        <f>References!$G$8</f>
        <v>Turns</v>
      </c>
      <c r="E95" s="152"/>
      <c r="F95" s="13" t="s">
        <v>119</v>
      </c>
      <c r="G95" s="176" t="s">
        <v>120</v>
      </c>
      <c r="H95" s="13" t="s">
        <v>123</v>
      </c>
      <c r="I95" s="176" t="s">
        <v>124</v>
      </c>
      <c r="K95" s="155"/>
      <c r="L95" s="13"/>
      <c r="M95" s="13"/>
      <c r="N95" s="155"/>
      <c r="O95" s="155"/>
      <c r="P95" s="13"/>
      <c r="Q95" s="13"/>
      <c r="R95" s="152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</row>
    <row r="96" spans="1:53" ht="16.5" thickBot="1" x14ac:dyDescent="0.3">
      <c r="A96" s="127" t="str">
        <f>References!$C$2</f>
        <v>Direct</v>
      </c>
      <c r="B96" s="143" t="str">
        <f>References!$A$2</f>
        <v>dmg</v>
      </c>
      <c r="C96" s="144">
        <v>3</v>
      </c>
      <c r="D96" s="172"/>
      <c r="E96" s="13"/>
      <c r="F96" s="13">
        <f>(C96+(1*C94))*C91</f>
        <v>3.33</v>
      </c>
      <c r="G96">
        <f>IF(D96="",F96,F96*D96)</f>
        <v>3.33</v>
      </c>
      <c r="H96">
        <f>(C96-(1-C94)*1)*C91</f>
        <v>2.33</v>
      </c>
      <c r="I96">
        <f>IF(D96="",H96,H96*D96)</f>
        <v>2.33</v>
      </c>
      <c r="K96" s="154"/>
      <c r="L96" s="13"/>
      <c r="M96" s="13"/>
      <c r="N96" s="154"/>
      <c r="O96" s="154"/>
      <c r="P96" s="13"/>
      <c r="Q96" s="13"/>
      <c r="R96" s="156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</row>
    <row r="97" spans="1:53" ht="16.5" thickBot="1" x14ac:dyDescent="0.3">
      <c r="A97" s="129" t="str">
        <f>References!$C$4</f>
        <v>SelfDirect</v>
      </c>
      <c r="B97" s="139" t="str">
        <f>References!$A$5</f>
        <v>def</v>
      </c>
      <c r="C97" s="141">
        <v>1</v>
      </c>
      <c r="D97" s="172"/>
      <c r="E97" s="13"/>
      <c r="F97" s="13">
        <f>(C97+(1*C94))*C91</f>
        <v>1.33</v>
      </c>
      <c r="G97">
        <f>IF(D97="",F97,F97*D97)</f>
        <v>1.33</v>
      </c>
      <c r="H97">
        <f>(C97-(1-C94)*1)*C91</f>
        <v>0.33000000000000007</v>
      </c>
      <c r="I97">
        <f>IF(D97="",H97,H97*D97)</f>
        <v>0.33000000000000007</v>
      </c>
      <c r="K97" s="154"/>
      <c r="L97" s="13"/>
      <c r="M97" s="13"/>
      <c r="N97" s="154"/>
      <c r="O97" s="154"/>
      <c r="P97" s="13"/>
      <c r="Q97" s="13"/>
      <c r="R97" s="156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</row>
    <row r="98" spans="1:53" ht="16.5" thickBot="1" x14ac:dyDescent="0.3">
      <c r="A98" s="127" t="str">
        <f>References!$C$5</f>
        <v>SelfTemp</v>
      </c>
      <c r="B98" s="139" t="str">
        <f>References!$A$5</f>
        <v>def</v>
      </c>
      <c r="C98" s="141">
        <v>1</v>
      </c>
      <c r="D98" s="185">
        <v>2</v>
      </c>
      <c r="E98" s="13"/>
      <c r="F98" s="13">
        <f>(C98+(1*C94))*C91</f>
        <v>1.33</v>
      </c>
      <c r="G98">
        <f>IF(D98="",F98,F98*D98)</f>
        <v>2.66</v>
      </c>
      <c r="H98">
        <f>(C98-(1-C94)*1)*C91</f>
        <v>0.33000000000000007</v>
      </c>
      <c r="I98">
        <f>IF(D98="",H98,H98*D98)</f>
        <v>0.66000000000000014</v>
      </c>
      <c r="J98" s="13"/>
      <c r="L98" s="13"/>
      <c r="M98" s="13"/>
      <c r="N98" s="154"/>
      <c r="O98" s="154"/>
      <c r="P98" s="13"/>
      <c r="Q98" s="13"/>
      <c r="R98" s="156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</row>
    <row r="99" spans="1:53" x14ac:dyDescent="0.25">
      <c r="E99" s="13"/>
      <c r="F99" s="13" t="s">
        <v>112</v>
      </c>
      <c r="G99">
        <f>SUM(G96:G98)</f>
        <v>7.32</v>
      </c>
      <c r="I99" s="13">
        <f>SUM(I96:I98)</f>
        <v>3.3200000000000003</v>
      </c>
      <c r="J99" s="13"/>
      <c r="M99" s="13"/>
      <c r="N99" s="13"/>
      <c r="Q99" s="13"/>
      <c r="R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S99" s="13"/>
      <c r="AT99" s="13"/>
      <c r="AU99" s="13"/>
      <c r="AV99" s="13"/>
      <c r="AW99" s="13"/>
      <c r="AX99" s="13"/>
      <c r="AY99" s="13"/>
      <c r="AZ99" s="13"/>
      <c r="BA99" s="13"/>
    </row>
    <row r="100" spans="1:53" x14ac:dyDescent="0.25">
      <c r="E100" s="13"/>
      <c r="F100" s="13"/>
      <c r="G100" s="13"/>
      <c r="H100" s="13"/>
      <c r="I100" s="13"/>
      <c r="K100" s="126"/>
      <c r="L100" s="13"/>
      <c r="M100" s="13"/>
      <c r="N100" s="126"/>
      <c r="O100" s="126"/>
      <c r="P100" s="13"/>
      <c r="Q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</row>
    <row r="101" spans="1:53" x14ac:dyDescent="0.25">
      <c r="E101" s="13"/>
      <c r="F101" s="152" t="s">
        <v>115</v>
      </c>
      <c r="G101" s="13" t="s">
        <v>114</v>
      </c>
      <c r="H101" s="192" t="s">
        <v>116</v>
      </c>
      <c r="I101" s="126" t="s">
        <v>113</v>
      </c>
      <c r="J101" s="152" t="s">
        <v>117</v>
      </c>
      <c r="K101" s="193" t="s">
        <v>122</v>
      </c>
      <c r="L101" s="126"/>
      <c r="O101" s="126"/>
      <c r="P101" s="13"/>
      <c r="Q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</row>
    <row r="102" spans="1:53" x14ac:dyDescent="0.25">
      <c r="E102" s="13"/>
      <c r="F102" s="13">
        <f>(G99/(20*(C91+1)))*100</f>
        <v>18.3</v>
      </c>
      <c r="G102" s="13">
        <f>G99*G94</f>
        <v>36.6</v>
      </c>
      <c r="H102">
        <f>(104.3421 + (9.456889 - 104.3421)/(1 + (G102/39.91202)^3.274503))/(C91+1)</f>
        <v>25.107642382300881</v>
      </c>
      <c r="I102" s="126">
        <f>G99/C92</f>
        <v>3.66</v>
      </c>
      <c r="J102" s="13">
        <f>(I102/20)*100</f>
        <v>18.3</v>
      </c>
      <c r="K102" s="13">
        <f>(0.3*F102)+(0.3*H102)+(0.4*J102)</f>
        <v>20.342292714690267</v>
      </c>
      <c r="L102" s="13"/>
      <c r="M102" s="13"/>
      <c r="N102" s="126"/>
      <c r="O102" s="126"/>
      <c r="P102" s="13"/>
      <c r="Q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</row>
    <row r="103" spans="1:53" x14ac:dyDescent="0.25">
      <c r="E103" s="13"/>
      <c r="F103" s="152" t="s">
        <v>115</v>
      </c>
      <c r="G103" s="13" t="s">
        <v>114</v>
      </c>
      <c r="H103" s="192" t="s">
        <v>116</v>
      </c>
      <c r="I103" s="126" t="s">
        <v>113</v>
      </c>
      <c r="J103" s="152" t="s">
        <v>117</v>
      </c>
      <c r="K103" s="193" t="s">
        <v>127</v>
      </c>
      <c r="N103" s="126"/>
      <c r="O103" s="126"/>
      <c r="P103" s="13"/>
      <c r="Q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</row>
    <row r="104" spans="1:53" x14ac:dyDescent="0.25">
      <c r="E104" s="13"/>
      <c r="F104" s="13">
        <f>(I99/(20*C91))*100</f>
        <v>16.600000000000001</v>
      </c>
      <c r="G104" s="13">
        <f>I99*G94</f>
        <v>16.600000000000001</v>
      </c>
      <c r="H104">
        <f>(104.3421 + (9.456889 - 104.3421)/(1 + (G104/39.91202)^3.274503))/C91</f>
        <v>14.535411493286887</v>
      </c>
      <c r="I104" s="126">
        <f>I99/C92</f>
        <v>1.6600000000000001</v>
      </c>
      <c r="J104" s="13">
        <f>(I104/20)*100</f>
        <v>8.3000000000000007</v>
      </c>
      <c r="K104" s="13">
        <f>(0.3*F104)+(0.3*H104)+(0.4*J104)</f>
        <v>12.660623447986065</v>
      </c>
      <c r="N104" s="126"/>
      <c r="O104" s="126"/>
      <c r="P104" s="13"/>
      <c r="Q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</row>
    <row r="105" spans="1:53" x14ac:dyDescent="0.25">
      <c r="E105" s="13"/>
      <c r="F105" s="152" t="s">
        <v>126</v>
      </c>
      <c r="G105" s="13">
        <f>(C93/5)*100</f>
        <v>20</v>
      </c>
      <c r="I105" s="126"/>
      <c r="J105" s="13"/>
      <c r="K105" s="13"/>
      <c r="N105" s="126"/>
      <c r="O105" s="126"/>
      <c r="P105" s="13"/>
      <c r="Q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</row>
    <row r="106" spans="1:53" x14ac:dyDescent="0.25">
      <c r="E106" s="13"/>
      <c r="F106" s="152" t="s">
        <v>118</v>
      </c>
      <c r="G106" s="13">
        <f>(0.25*K104)+(0.6*K102)+(0.15*G105)</f>
        <v>18.370531490810677</v>
      </c>
      <c r="I106" s="126"/>
      <c r="J106" s="13"/>
      <c r="K106" s="13"/>
      <c r="N106" s="126"/>
      <c r="O106" s="126"/>
      <c r="P106" s="13"/>
      <c r="Q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</row>
    <row r="107" spans="1:53" x14ac:dyDescent="0.25">
      <c r="E107" s="13"/>
      <c r="F107" s="13"/>
      <c r="G107" s="13"/>
      <c r="H107" s="13"/>
      <c r="I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</row>
    <row r="108" spans="1:53" x14ac:dyDescent="0.25">
      <c r="E108" s="13"/>
      <c r="F108" s="13"/>
      <c r="G108" s="13"/>
      <c r="H108" s="13"/>
      <c r="I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</row>
    <row r="109" spans="1:53" x14ac:dyDescent="0.25">
      <c r="E109" s="10"/>
      <c r="F109" s="10"/>
      <c r="G109" s="10"/>
      <c r="H109" s="10"/>
      <c r="I109" s="10"/>
      <c r="K109" s="126"/>
      <c r="L109" s="13"/>
      <c r="M109" s="13"/>
      <c r="N109" s="126"/>
      <c r="O109" s="126"/>
      <c r="P109" s="13"/>
      <c r="Q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</row>
    <row r="110" spans="1:53" ht="15.75" x14ac:dyDescent="0.25">
      <c r="A110" s="213" t="str">
        <f>References!$F$2</f>
        <v>Name</v>
      </c>
      <c r="B110" s="213"/>
      <c r="C110" s="218" t="s">
        <v>14</v>
      </c>
      <c r="D110" s="218"/>
      <c r="E110" s="10"/>
      <c r="F110" s="10"/>
      <c r="G110" s="10"/>
      <c r="H110" s="10"/>
      <c r="I110" s="10"/>
      <c r="K110" s="126"/>
      <c r="L110" s="13"/>
      <c r="M110" s="13"/>
      <c r="N110" s="126"/>
      <c r="O110" s="126"/>
      <c r="P110" s="13"/>
      <c r="Q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</row>
    <row r="111" spans="1:53" ht="15.75" x14ac:dyDescent="0.25">
      <c r="A111" s="213" t="str">
        <f>References!$F$3</f>
        <v>Class</v>
      </c>
      <c r="B111" s="213"/>
      <c r="C111" s="218" t="str">
        <f>References!$E$4</f>
        <v>Warlord</v>
      </c>
      <c r="D111" s="218"/>
      <c r="E111" s="10"/>
      <c r="F111" s="10"/>
      <c r="G111" s="10"/>
      <c r="H111" s="10"/>
      <c r="I111" s="10"/>
      <c r="K111" s="126"/>
      <c r="L111" s="13"/>
      <c r="M111" s="13"/>
      <c r="N111" s="126"/>
      <c r="O111" s="126"/>
      <c r="P111" s="13"/>
      <c r="Q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</row>
    <row r="112" spans="1:53" ht="15.75" x14ac:dyDescent="0.25">
      <c r="A112" s="213" t="str">
        <f>References!$F$4</f>
        <v>Type</v>
      </c>
      <c r="B112" s="213"/>
      <c r="C112" s="218" t="str">
        <f>References!$B$4</f>
        <v>Passive</v>
      </c>
      <c r="D112" s="218"/>
      <c r="E112" s="10"/>
      <c r="F112" s="10"/>
      <c r="G112" s="10"/>
      <c r="H112" s="10"/>
      <c r="I112" s="10"/>
      <c r="K112" s="126"/>
      <c r="L112" s="13"/>
      <c r="M112" s="13"/>
      <c r="N112" s="126"/>
      <c r="O112" s="126"/>
      <c r="P112" s="13"/>
      <c r="Q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</row>
    <row r="113" spans="1:53" ht="15.75" x14ac:dyDescent="0.25">
      <c r="A113" s="213" t="str">
        <f>References!$F$5</f>
        <v>Nb. Targets</v>
      </c>
      <c r="B113" s="213"/>
      <c r="C113" s="229"/>
      <c r="D113" s="229"/>
      <c r="E113" s="10"/>
      <c r="F113" s="10"/>
      <c r="G113" s="10"/>
      <c r="H113" s="10"/>
      <c r="I113" s="10"/>
      <c r="K113" s="126"/>
      <c r="L113" s="13"/>
      <c r="M113" s="13"/>
      <c r="N113" s="126"/>
      <c r="O113" s="126"/>
      <c r="P113" s="13"/>
      <c r="Q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</row>
    <row r="114" spans="1:53" ht="15.75" x14ac:dyDescent="0.25">
      <c r="A114" s="213" t="str">
        <f>References!$F$6</f>
        <v>Energy cost</v>
      </c>
      <c r="B114" s="213"/>
      <c r="C114" s="229"/>
      <c r="D114" s="229"/>
      <c r="E114" s="154"/>
      <c r="F114" s="156"/>
      <c r="G114" s="156"/>
      <c r="H114" s="156"/>
      <c r="I114" s="13"/>
      <c r="K114" s="154"/>
      <c r="L114" s="13"/>
      <c r="M114" s="13"/>
      <c r="N114" s="154"/>
      <c r="O114" s="154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</row>
    <row r="115" spans="1:53" ht="15.75" x14ac:dyDescent="0.25">
      <c r="A115" s="213" t="s">
        <v>111</v>
      </c>
      <c r="B115" s="213"/>
      <c r="C115" s="210">
        <v>1</v>
      </c>
      <c r="D115" s="210"/>
      <c r="E115" s="13"/>
      <c r="F115" s="13"/>
      <c r="G115" s="13"/>
      <c r="H115" s="13"/>
      <c r="I115" s="13"/>
      <c r="K115" s="154"/>
      <c r="L115" s="13"/>
      <c r="M115" s="13"/>
      <c r="N115" s="154"/>
      <c r="O115" s="154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</row>
    <row r="116" spans="1:53" ht="15.75" x14ac:dyDescent="0.25">
      <c r="A116" s="213" t="s">
        <v>110</v>
      </c>
      <c r="B116" s="213"/>
      <c r="C116" s="210">
        <v>0</v>
      </c>
      <c r="D116" s="210"/>
      <c r="E116" s="13"/>
      <c r="F116" s="13"/>
      <c r="G116" s="13"/>
      <c r="H116" s="13"/>
      <c r="I116" s="13"/>
      <c r="K116" s="154"/>
      <c r="L116" s="13"/>
      <c r="M116" s="13"/>
      <c r="N116" s="154"/>
      <c r="O116" s="154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</row>
    <row r="117" spans="1:53" ht="16.5" thickBot="1" x14ac:dyDescent="0.3">
      <c r="A117" s="186" t="str">
        <f>References!$G$2</f>
        <v>Type</v>
      </c>
      <c r="B117" s="187" t="str">
        <f>References!$G$3</f>
        <v>Stat</v>
      </c>
      <c r="C117" s="188" t="str">
        <f>References!$G$7</f>
        <v>Nb</v>
      </c>
      <c r="D117" s="189" t="str">
        <f>References!$G$8</f>
        <v>Turns</v>
      </c>
      <c r="E117" s="152"/>
      <c r="F117" s="152"/>
      <c r="G117" s="155"/>
      <c r="H117" s="155"/>
      <c r="I117" s="10"/>
      <c r="L117" s="13"/>
      <c r="M117" s="13"/>
      <c r="P117" s="13"/>
      <c r="Q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</row>
    <row r="118" spans="1:53" ht="16.5" thickBot="1" x14ac:dyDescent="0.3">
      <c r="A118" s="129" t="str">
        <f>References!$B$4</f>
        <v>Passive</v>
      </c>
      <c r="B118" s="139" t="str">
        <f>References!$A$5</f>
        <v>def</v>
      </c>
      <c r="C118" s="181">
        <v>1</v>
      </c>
      <c r="D118" s="180"/>
      <c r="E118" s="156"/>
      <c r="F118" s="156"/>
      <c r="G118" s="156"/>
      <c r="H118" s="156"/>
      <c r="I118" s="10"/>
      <c r="L118" s="13"/>
      <c r="M118" s="13"/>
      <c r="P118" s="13"/>
      <c r="Q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</row>
    <row r="119" spans="1:53" x14ac:dyDescent="0.25">
      <c r="E119" s="10"/>
      <c r="F119" s="10"/>
      <c r="G119" s="10"/>
      <c r="H119" s="10"/>
      <c r="I119" s="10"/>
      <c r="L119" s="13"/>
      <c r="M119" s="13"/>
      <c r="P119" s="13"/>
      <c r="Q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</row>
    <row r="120" spans="1:53" x14ac:dyDescent="0.25">
      <c r="K120" s="126"/>
      <c r="L120" s="13"/>
      <c r="M120" s="13"/>
      <c r="N120" s="126"/>
      <c r="O120" s="126"/>
      <c r="P120" s="13"/>
      <c r="Q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</row>
    <row r="121" spans="1:53" ht="15.75" x14ac:dyDescent="0.25">
      <c r="A121" s="213" t="str">
        <f>References!$F$2</f>
        <v>Name</v>
      </c>
      <c r="B121" s="213"/>
      <c r="C121" s="218" t="s">
        <v>15</v>
      </c>
      <c r="D121" s="218"/>
      <c r="K121" s="126"/>
      <c r="L121" s="13"/>
      <c r="M121" s="13"/>
      <c r="N121" s="126"/>
      <c r="O121" s="126"/>
      <c r="P121" s="13"/>
      <c r="Q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</row>
    <row r="122" spans="1:53" ht="15.75" x14ac:dyDescent="0.25">
      <c r="A122" s="213" t="str">
        <f>References!$F$3</f>
        <v>Class</v>
      </c>
      <c r="B122" s="213"/>
      <c r="C122" s="218" t="str">
        <f>References!$E$5</f>
        <v>Berserker</v>
      </c>
      <c r="D122" s="218"/>
      <c r="K122" s="126"/>
      <c r="L122" s="13"/>
      <c r="M122" s="13"/>
      <c r="N122" s="126"/>
      <c r="O122" s="126"/>
      <c r="P122" s="13"/>
      <c r="Q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</row>
    <row r="123" spans="1:53" ht="15.75" x14ac:dyDescent="0.25">
      <c r="A123" s="213" t="str">
        <f>References!$F$4</f>
        <v>Type</v>
      </c>
      <c r="B123" s="213"/>
      <c r="C123" s="218" t="str">
        <f>References!$B$2</f>
        <v>Offensive</v>
      </c>
      <c r="D123" s="218"/>
      <c r="E123" s="13"/>
      <c r="F123" s="13"/>
      <c r="G123" s="13"/>
      <c r="H123" s="13"/>
      <c r="I123" s="13"/>
      <c r="K123" s="126"/>
      <c r="L123" s="13"/>
      <c r="M123" s="13"/>
      <c r="N123" s="126"/>
      <c r="O123" s="126"/>
      <c r="P123" s="13"/>
      <c r="Q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</row>
    <row r="124" spans="1:53" ht="15.75" x14ac:dyDescent="0.25">
      <c r="A124" s="213" t="str">
        <f>References!$F$5</f>
        <v>Nb. Targets</v>
      </c>
      <c r="B124" s="213"/>
      <c r="C124" s="218">
        <v>1</v>
      </c>
      <c r="D124" s="218"/>
      <c r="E124" s="13"/>
      <c r="F124" s="13"/>
      <c r="G124" s="13"/>
      <c r="H124" s="13"/>
      <c r="I124" s="13"/>
      <c r="K124" s="126"/>
      <c r="L124" s="13"/>
      <c r="M124" s="13"/>
      <c r="N124" s="126"/>
      <c r="O124" s="126"/>
      <c r="P124" s="13"/>
      <c r="Q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</row>
    <row r="125" spans="1:53" ht="15.75" x14ac:dyDescent="0.25">
      <c r="A125" s="213" t="str">
        <f>References!$F$6</f>
        <v>Energy cost</v>
      </c>
      <c r="B125" s="213"/>
      <c r="C125" s="218">
        <v>3</v>
      </c>
      <c r="D125" s="218"/>
      <c r="E125" s="154"/>
      <c r="F125" s="156"/>
      <c r="G125" s="156"/>
      <c r="H125" s="156"/>
      <c r="I125" s="13"/>
      <c r="K125" s="154"/>
      <c r="L125" s="13"/>
      <c r="M125" s="13"/>
      <c r="N125" s="154"/>
      <c r="O125" s="154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</row>
    <row r="126" spans="1:53" ht="15.75" x14ac:dyDescent="0.25">
      <c r="A126" s="213" t="s">
        <v>111</v>
      </c>
      <c r="B126" s="213"/>
      <c r="C126" s="210">
        <v>1</v>
      </c>
      <c r="D126" s="210"/>
      <c r="E126" s="13"/>
      <c r="F126" s="13"/>
      <c r="G126" s="13"/>
      <c r="H126" s="13"/>
      <c r="I126" s="13"/>
      <c r="K126" s="154"/>
      <c r="L126" s="13"/>
      <c r="M126" s="13"/>
      <c r="N126" s="154"/>
      <c r="O126" s="154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</row>
    <row r="127" spans="1:53" ht="15.75" x14ac:dyDescent="0.25">
      <c r="A127" s="213" t="s">
        <v>110</v>
      </c>
      <c r="B127" s="213"/>
      <c r="C127" s="210">
        <v>0</v>
      </c>
      <c r="D127" s="210"/>
      <c r="E127" s="13"/>
      <c r="F127" s="13" t="s">
        <v>121</v>
      </c>
      <c r="G127" s="13">
        <f>_xlfn.FLOOR.MATH(10/IF(OR(C125=1,C125=0),2,C125))</f>
        <v>3</v>
      </c>
      <c r="K127" s="154"/>
      <c r="L127" s="13"/>
      <c r="M127" s="13"/>
      <c r="N127" s="154"/>
      <c r="O127" s="154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</row>
    <row r="128" spans="1:53" ht="16.5" thickBot="1" x14ac:dyDescent="0.3">
      <c r="A128" s="186" t="str">
        <f>References!$G$2</f>
        <v>Type</v>
      </c>
      <c r="B128" s="187" t="str">
        <f>References!$G$3</f>
        <v>Stat</v>
      </c>
      <c r="C128" s="188" t="str">
        <f>References!$G$7</f>
        <v>Nb</v>
      </c>
      <c r="D128" s="191" t="str">
        <f>References!$G$8</f>
        <v>Turns</v>
      </c>
      <c r="E128" s="152"/>
      <c r="F128" s="13" t="s">
        <v>119</v>
      </c>
      <c r="G128" s="176" t="s">
        <v>120</v>
      </c>
      <c r="H128" s="13" t="s">
        <v>123</v>
      </c>
      <c r="I128" s="176" t="s">
        <v>124</v>
      </c>
      <c r="K128" s="155"/>
      <c r="L128" s="13"/>
      <c r="M128" s="13"/>
      <c r="P128" s="13"/>
      <c r="Q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</row>
    <row r="129" spans="1:53" ht="16.5" thickBot="1" x14ac:dyDescent="0.3">
      <c r="A129" s="127" t="str">
        <f>References!$C$2</f>
        <v>Direct</v>
      </c>
      <c r="B129" s="143" t="str">
        <f>References!$A$2</f>
        <v>dmg</v>
      </c>
      <c r="C129" s="144">
        <v>4</v>
      </c>
      <c r="D129" s="145"/>
      <c r="E129" s="13"/>
      <c r="F129" s="13">
        <f>(C129+(1*C127))*C124</f>
        <v>4</v>
      </c>
      <c r="G129">
        <f>IF(D129="",F129,F129*D129)</f>
        <v>4</v>
      </c>
      <c r="H129">
        <f>(C129-(1-C127)*1)*C124</f>
        <v>3</v>
      </c>
      <c r="I129">
        <f>IF(D129="",H129,H129*D129)</f>
        <v>3</v>
      </c>
      <c r="K129" s="154"/>
      <c r="L129" s="13"/>
      <c r="M129" s="13"/>
      <c r="P129" s="13"/>
      <c r="Q129" s="13"/>
      <c r="R129" s="156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</row>
    <row r="130" spans="1:53" ht="16.5" thickBot="1" x14ac:dyDescent="0.3">
      <c r="A130" s="127" t="str">
        <f>References!$C$2</f>
        <v>Direct</v>
      </c>
      <c r="B130" s="143" t="str">
        <f>References!$A$2</f>
        <v>dmg</v>
      </c>
      <c r="C130" s="141">
        <v>3</v>
      </c>
      <c r="D130" s="145"/>
      <c r="E130" s="13"/>
      <c r="F130" s="13">
        <f>(C130+(1*C127))*C124</f>
        <v>3</v>
      </c>
      <c r="G130">
        <f>IF(D130="",F130,F130*D130)</f>
        <v>3</v>
      </c>
      <c r="H130">
        <f>(C130-(1-C127)*1)*C124</f>
        <v>2</v>
      </c>
      <c r="I130">
        <f>IF(D130="",H130,H130*D130)</f>
        <v>2</v>
      </c>
      <c r="K130" s="154"/>
      <c r="L130" s="13"/>
      <c r="M130" s="13"/>
      <c r="P130" s="13"/>
      <c r="Q130" s="13"/>
      <c r="R130" s="156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</row>
    <row r="131" spans="1:53" x14ac:dyDescent="0.25">
      <c r="E131" s="13"/>
      <c r="F131" s="13" t="s">
        <v>112</v>
      </c>
      <c r="G131">
        <f>SUM(G129:G130)</f>
        <v>7</v>
      </c>
      <c r="I131" s="13">
        <f>SUM(I129:I130)</f>
        <v>5</v>
      </c>
      <c r="J131" s="13"/>
      <c r="M131" s="13"/>
      <c r="N131" s="13"/>
      <c r="Q131" s="13"/>
      <c r="R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S131" s="13"/>
      <c r="AT131" s="13"/>
      <c r="AU131" s="13"/>
      <c r="AV131" s="13"/>
      <c r="AW131" s="13"/>
      <c r="AX131" s="13"/>
      <c r="AY131" s="13"/>
      <c r="AZ131" s="13"/>
      <c r="BA131" s="13"/>
    </row>
    <row r="132" spans="1:53" x14ac:dyDescent="0.25">
      <c r="E132" s="13"/>
      <c r="F132" s="13"/>
      <c r="G132" s="13"/>
      <c r="H132" s="13"/>
      <c r="I132" s="13"/>
      <c r="K132" s="126"/>
      <c r="L132" s="13"/>
      <c r="M132" s="13"/>
      <c r="N132" s="126"/>
      <c r="O132" s="126"/>
      <c r="P132" s="13"/>
      <c r="Q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</row>
    <row r="133" spans="1:53" x14ac:dyDescent="0.25">
      <c r="E133" s="13"/>
      <c r="F133" s="152" t="s">
        <v>115</v>
      </c>
      <c r="G133" s="13" t="s">
        <v>114</v>
      </c>
      <c r="H133" s="192" t="s">
        <v>116</v>
      </c>
      <c r="I133" s="126" t="s">
        <v>113</v>
      </c>
      <c r="J133" s="152" t="s">
        <v>117</v>
      </c>
      <c r="K133" s="193" t="s">
        <v>122</v>
      </c>
      <c r="L133" s="126"/>
      <c r="O133" s="126"/>
      <c r="P133" s="13"/>
      <c r="Q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</row>
    <row r="134" spans="1:53" x14ac:dyDescent="0.25">
      <c r="E134" s="13"/>
      <c r="F134" s="13">
        <f>(G131/(20*C124))*100</f>
        <v>35</v>
      </c>
      <c r="G134" s="13">
        <f>G131*G127</f>
        <v>21</v>
      </c>
      <c r="H134">
        <f>(104.3421 + (9.456889 - 104.3421)/(1 + (G134/39.91202)^3.274503))/C124</f>
        <v>19.783332951589188</v>
      </c>
      <c r="I134" s="126">
        <f>G131/C125</f>
        <v>2.3333333333333335</v>
      </c>
      <c r="J134" s="13">
        <f>(I134/20)*100</f>
        <v>11.666666666666666</v>
      </c>
      <c r="K134" s="13">
        <f>(0.3*F134)+(0.3*H134)+(0.4*J134)</f>
        <v>21.101666552143424</v>
      </c>
      <c r="N134" s="126"/>
      <c r="O134" s="126"/>
      <c r="P134" s="13"/>
      <c r="Q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</row>
    <row r="135" spans="1:53" x14ac:dyDescent="0.25">
      <c r="E135" s="13"/>
      <c r="F135" s="152" t="s">
        <v>115</v>
      </c>
      <c r="G135" s="13" t="s">
        <v>114</v>
      </c>
      <c r="H135" s="192" t="s">
        <v>116</v>
      </c>
      <c r="I135" s="126" t="s">
        <v>113</v>
      </c>
      <c r="J135" s="152" t="s">
        <v>117</v>
      </c>
      <c r="K135" s="193" t="s">
        <v>127</v>
      </c>
      <c r="N135" s="126"/>
      <c r="O135" s="126"/>
      <c r="P135" s="13"/>
      <c r="Q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</row>
    <row r="136" spans="1:53" x14ac:dyDescent="0.25">
      <c r="E136" s="13"/>
      <c r="F136" s="13">
        <f>(I131/(20*C124))*100</f>
        <v>25</v>
      </c>
      <c r="G136" s="13">
        <f>I131*G127</f>
        <v>15</v>
      </c>
      <c r="H136">
        <f>(104.3421 + (9.456889 - 104.3421)/(1 + (G136/39.91202)^3.274503))/C124</f>
        <v>13.157037540933331</v>
      </c>
      <c r="I136" s="126">
        <f>I131/C125</f>
        <v>1.6666666666666667</v>
      </c>
      <c r="J136" s="13">
        <f>(I136/20)*100</f>
        <v>8.3333333333333339</v>
      </c>
      <c r="K136" s="13">
        <f>(0.3*F136)+(0.3*H136)+(0.4*J136)</f>
        <v>14.780444595613334</v>
      </c>
      <c r="N136" s="126"/>
      <c r="O136" s="126"/>
      <c r="P136" s="13"/>
      <c r="Q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</row>
    <row r="137" spans="1:53" x14ac:dyDescent="0.25">
      <c r="E137" s="13"/>
      <c r="F137" s="152" t="s">
        <v>126</v>
      </c>
      <c r="G137" s="13">
        <f>(C126/5)*100</f>
        <v>20</v>
      </c>
      <c r="I137" s="126"/>
      <c r="J137" s="13"/>
      <c r="K137" s="13"/>
      <c r="N137" s="126"/>
      <c r="O137" s="126"/>
      <c r="P137" s="13"/>
      <c r="Q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</row>
    <row r="138" spans="1:53" x14ac:dyDescent="0.25">
      <c r="F138" s="152" t="s">
        <v>118</v>
      </c>
      <c r="G138" s="13">
        <f>(0.25*K136)+(0.6*K134)+(0.15*G137)</f>
        <v>19.35611108018939</v>
      </c>
      <c r="I138" s="126"/>
      <c r="J138" s="13"/>
      <c r="K138" s="13"/>
      <c r="L138" s="13"/>
      <c r="M138" s="13"/>
      <c r="P138" s="13"/>
      <c r="Q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</row>
    <row r="139" spans="1:53" x14ac:dyDescent="0.25">
      <c r="K139" s="126"/>
      <c r="L139" s="13"/>
      <c r="M139" s="13"/>
      <c r="N139" s="126"/>
      <c r="O139" s="126"/>
      <c r="P139" s="13"/>
      <c r="Q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</row>
    <row r="140" spans="1:53" ht="15.75" x14ac:dyDescent="0.25">
      <c r="A140" s="213" t="str">
        <f>References!$F$2</f>
        <v>Name</v>
      </c>
      <c r="B140" s="213"/>
      <c r="C140" s="218" t="s">
        <v>31</v>
      </c>
      <c r="D140" s="218"/>
      <c r="K140" s="126"/>
      <c r="L140" s="13"/>
      <c r="M140" s="13"/>
      <c r="N140" s="126"/>
      <c r="O140" s="126"/>
      <c r="P140" s="13"/>
      <c r="Q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</row>
    <row r="141" spans="1:53" ht="15.75" x14ac:dyDescent="0.25">
      <c r="A141" s="213" t="str">
        <f>References!$F$3</f>
        <v>Class</v>
      </c>
      <c r="B141" s="213"/>
      <c r="C141" s="218" t="str">
        <f>References!$E$3</f>
        <v>Mercenary</v>
      </c>
      <c r="D141" s="218"/>
      <c r="K141" s="126"/>
      <c r="L141" s="13"/>
      <c r="M141" s="13"/>
      <c r="N141" s="126"/>
      <c r="O141" s="126"/>
      <c r="P141" s="13"/>
      <c r="Q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</row>
    <row r="142" spans="1:53" ht="15.75" x14ac:dyDescent="0.25">
      <c r="A142" s="213" t="str">
        <f>References!$F$4</f>
        <v>Type</v>
      </c>
      <c r="B142" s="213"/>
      <c r="C142" s="218" t="str">
        <f>References!$B$2</f>
        <v>Offensive</v>
      </c>
      <c r="D142" s="218"/>
      <c r="K142" s="126"/>
      <c r="L142" s="13"/>
      <c r="M142" s="13"/>
      <c r="N142" s="126"/>
      <c r="O142" s="126"/>
      <c r="P142" s="13"/>
      <c r="Q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</row>
    <row r="143" spans="1:53" ht="15.75" x14ac:dyDescent="0.25">
      <c r="A143" s="213" t="str">
        <f>References!$F$5</f>
        <v>Nb. Targets</v>
      </c>
      <c r="B143" s="213"/>
      <c r="C143" s="218">
        <v>2</v>
      </c>
      <c r="D143" s="218"/>
      <c r="K143" s="126"/>
      <c r="L143" s="13"/>
      <c r="M143" s="13"/>
      <c r="N143" s="126"/>
      <c r="O143" s="126"/>
      <c r="P143" s="13"/>
      <c r="Q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</row>
    <row r="144" spans="1:53" ht="15.75" x14ac:dyDescent="0.25">
      <c r="A144" s="213" t="str">
        <f>References!$F$6</f>
        <v>Energy cost</v>
      </c>
      <c r="B144" s="213"/>
      <c r="C144" s="218">
        <v>3</v>
      </c>
      <c r="D144" s="218"/>
      <c r="E144" s="154"/>
      <c r="F144" s="156"/>
      <c r="G144" s="156"/>
      <c r="H144" s="156"/>
      <c r="I144" s="13"/>
      <c r="K144" s="154"/>
      <c r="L144" s="13"/>
      <c r="M144" s="13"/>
      <c r="N144" s="154"/>
      <c r="O144" s="154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</row>
    <row r="145" spans="1:53" ht="15.75" x14ac:dyDescent="0.25">
      <c r="A145" s="213" t="s">
        <v>111</v>
      </c>
      <c r="B145" s="213"/>
      <c r="C145" s="210">
        <v>2</v>
      </c>
      <c r="D145" s="210"/>
      <c r="E145" s="13"/>
      <c r="F145" s="13"/>
      <c r="G145" s="13"/>
      <c r="H145" s="13"/>
      <c r="I145" s="13"/>
      <c r="K145" s="154"/>
      <c r="L145" s="13"/>
      <c r="M145" s="13"/>
      <c r="N145" s="154"/>
      <c r="O145" s="154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</row>
    <row r="146" spans="1:53" ht="15.75" x14ac:dyDescent="0.25">
      <c r="A146" s="213" t="s">
        <v>110</v>
      </c>
      <c r="B146" s="213"/>
      <c r="C146" s="210">
        <v>0.33</v>
      </c>
      <c r="D146" s="210"/>
      <c r="E146" s="13"/>
      <c r="F146" s="13" t="s">
        <v>121</v>
      </c>
      <c r="G146" s="13">
        <f>_xlfn.FLOOR.MATH(10/IF(OR(C144=1,C144=0),2,C144))</f>
        <v>3</v>
      </c>
      <c r="K146" s="154"/>
      <c r="L146" s="13"/>
      <c r="M146" s="13"/>
      <c r="N146" s="154"/>
      <c r="O146" s="154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</row>
    <row r="147" spans="1:53" ht="16.5" thickBot="1" x14ac:dyDescent="0.3">
      <c r="A147" s="186" t="str">
        <f>References!$G$2</f>
        <v>Type</v>
      </c>
      <c r="B147" s="187" t="str">
        <f>References!$G$3</f>
        <v>Stat</v>
      </c>
      <c r="C147" s="188" t="str">
        <f>References!$G$7</f>
        <v>Nb</v>
      </c>
      <c r="D147" s="191" t="str">
        <f>References!$G$8</f>
        <v>Turns</v>
      </c>
      <c r="E147" s="152"/>
      <c r="F147" s="13" t="s">
        <v>119</v>
      </c>
      <c r="G147" s="176" t="s">
        <v>120</v>
      </c>
      <c r="H147" s="13" t="s">
        <v>123</v>
      </c>
      <c r="I147" s="176" t="s">
        <v>124</v>
      </c>
      <c r="L147" s="13"/>
      <c r="M147" s="13"/>
      <c r="P147" s="13"/>
      <c r="Q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</row>
    <row r="148" spans="1:53" ht="16.5" thickBot="1" x14ac:dyDescent="0.3">
      <c r="A148" s="127" t="str">
        <f>References!$C$2</f>
        <v>Direct</v>
      </c>
      <c r="B148" s="143" t="str">
        <f>References!$A$2</f>
        <v>dmg</v>
      </c>
      <c r="C148" s="144">
        <v>5</v>
      </c>
      <c r="D148" s="145"/>
      <c r="E148" s="13"/>
      <c r="F148" s="13">
        <f>(C148+(1*C146))*C143</f>
        <v>10.66</v>
      </c>
      <c r="G148">
        <f>IF(D148="",F148,F148*D148)</f>
        <v>10.66</v>
      </c>
      <c r="H148">
        <f>(C148-(1-C146)*1)*C143</f>
        <v>8.66</v>
      </c>
      <c r="I148">
        <f>IF(D148="",H148,H148*D148)</f>
        <v>8.66</v>
      </c>
      <c r="L148" s="13"/>
      <c r="M148" s="13"/>
      <c r="P148" s="13"/>
      <c r="Q148" s="13"/>
      <c r="R148" s="156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</row>
    <row r="149" spans="1:53" x14ac:dyDescent="0.25">
      <c r="E149" s="13"/>
      <c r="F149" s="13" t="s">
        <v>112</v>
      </c>
      <c r="G149">
        <f>SUM(G148)</f>
        <v>10.66</v>
      </c>
      <c r="I149" s="13">
        <f>SUM(I148)</f>
        <v>8.66</v>
      </c>
      <c r="J149" s="13"/>
      <c r="M149" s="13"/>
      <c r="N149" s="13"/>
      <c r="Q149" s="13"/>
      <c r="R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S149" s="13"/>
      <c r="AT149" s="13"/>
      <c r="AU149" s="13"/>
      <c r="AV149" s="13"/>
      <c r="AW149" s="13"/>
      <c r="AX149" s="13"/>
      <c r="AY149" s="13"/>
      <c r="AZ149" s="13"/>
      <c r="BA149" s="13"/>
    </row>
    <row r="150" spans="1:53" x14ac:dyDescent="0.25">
      <c r="E150" s="13"/>
      <c r="F150" s="13"/>
      <c r="G150" s="13"/>
      <c r="H150" s="13"/>
      <c r="I150" s="13"/>
      <c r="K150" s="126"/>
      <c r="L150" s="13"/>
      <c r="M150" s="13"/>
      <c r="N150" s="126"/>
      <c r="O150" s="126"/>
      <c r="P150" s="13"/>
      <c r="Q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</row>
    <row r="151" spans="1:53" x14ac:dyDescent="0.25">
      <c r="E151" s="13"/>
      <c r="F151" s="152" t="s">
        <v>115</v>
      </c>
      <c r="G151" s="13" t="s">
        <v>114</v>
      </c>
      <c r="H151" s="192" t="s">
        <v>116</v>
      </c>
      <c r="I151" s="126" t="s">
        <v>113</v>
      </c>
      <c r="J151" s="152" t="s">
        <v>117</v>
      </c>
      <c r="K151" s="193" t="s">
        <v>122</v>
      </c>
      <c r="L151" s="126"/>
      <c r="O151" s="126"/>
      <c r="P151" s="13"/>
      <c r="Q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</row>
    <row r="152" spans="1:53" x14ac:dyDescent="0.25">
      <c r="E152" s="13"/>
      <c r="F152" s="13">
        <f>(G149/(20*C143))*100</f>
        <v>26.650000000000002</v>
      </c>
      <c r="G152" s="13">
        <f>G149*G146</f>
        <v>31.98</v>
      </c>
      <c r="H152">
        <f>(104.3421 + (9.456889 - 104.3421)/(1 + (G152/39.91202)^3.274503))/C143</f>
        <v>20.203194377326383</v>
      </c>
      <c r="I152" s="126">
        <f>G149/C144</f>
        <v>3.5533333333333332</v>
      </c>
      <c r="J152" s="13">
        <f>(I152/20)*100</f>
        <v>17.766666666666666</v>
      </c>
      <c r="K152" s="13">
        <f>(0.3*F152)+(0.3*H152)+(0.4*J152)</f>
        <v>21.162624979864582</v>
      </c>
      <c r="L152" s="13"/>
      <c r="M152" s="13"/>
      <c r="N152" s="126"/>
      <c r="O152" s="126"/>
      <c r="P152" s="13"/>
      <c r="Q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</row>
    <row r="153" spans="1:53" x14ac:dyDescent="0.25">
      <c r="E153" s="13"/>
      <c r="F153" s="152" t="s">
        <v>115</v>
      </c>
      <c r="G153" s="13" t="s">
        <v>114</v>
      </c>
      <c r="H153" s="192" t="s">
        <v>116</v>
      </c>
      <c r="I153" s="126" t="s">
        <v>113</v>
      </c>
      <c r="J153" s="152" t="s">
        <v>117</v>
      </c>
      <c r="K153" s="193" t="s">
        <v>127</v>
      </c>
      <c r="N153" s="126"/>
      <c r="O153" s="126"/>
      <c r="P153" s="13"/>
      <c r="Q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</row>
    <row r="154" spans="1:53" x14ac:dyDescent="0.25">
      <c r="E154" s="13"/>
      <c r="F154" s="13">
        <f>(I149/(20*C143))*100</f>
        <v>21.65</v>
      </c>
      <c r="G154" s="13">
        <f>G146*I149</f>
        <v>25.98</v>
      </c>
      <c r="H154">
        <f>(104.3421 + (9.456889 - 104.3421)/(1 + (G154/39.91202)^3.274503))/C143</f>
        <v>14.068945939637921</v>
      </c>
      <c r="I154" s="126">
        <f>I149/C144</f>
        <v>2.8866666666666667</v>
      </c>
      <c r="J154" s="13">
        <f>(I154/20)*100</f>
        <v>14.433333333333334</v>
      </c>
      <c r="K154" s="13">
        <f>(0.3*F154)+(0.3*H154)+(0.4*J154)</f>
        <v>16.489017115224708</v>
      </c>
      <c r="N154" s="126"/>
      <c r="O154" s="126"/>
      <c r="P154" s="13"/>
      <c r="Q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</row>
    <row r="155" spans="1:53" x14ac:dyDescent="0.25">
      <c r="E155" s="13"/>
      <c r="F155" s="152" t="s">
        <v>126</v>
      </c>
      <c r="G155" s="13">
        <f>(C145/5)*100</f>
        <v>40</v>
      </c>
      <c r="I155" s="126"/>
      <c r="J155" s="13"/>
      <c r="K155" s="13"/>
      <c r="N155" s="126"/>
      <c r="O155" s="126"/>
      <c r="P155" s="13"/>
      <c r="Q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</row>
    <row r="156" spans="1:53" x14ac:dyDescent="0.25">
      <c r="E156" s="13"/>
      <c r="F156" s="152" t="s">
        <v>118</v>
      </c>
      <c r="G156" s="13">
        <f>(0.25*K154)+(0.6*K152)+(0.15*G155)</f>
        <v>22.819829266724927</v>
      </c>
      <c r="I156" s="126"/>
      <c r="J156" s="13"/>
      <c r="K156" s="13"/>
      <c r="N156" s="126"/>
      <c r="O156" s="126"/>
      <c r="P156" s="13"/>
      <c r="Q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</row>
    <row r="157" spans="1:53" x14ac:dyDescent="0.25">
      <c r="E157" s="13"/>
      <c r="F157" s="13"/>
      <c r="G157" s="13"/>
      <c r="H157" s="13"/>
      <c r="I157" s="13"/>
      <c r="L157" s="13"/>
      <c r="M157" s="13"/>
      <c r="P157" s="13"/>
      <c r="Q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</row>
    <row r="158" spans="1:53" ht="15.75" thickBot="1" x14ac:dyDescent="0.3">
      <c r="K158" s="126"/>
      <c r="L158" s="13"/>
      <c r="M158" s="13"/>
      <c r="N158" s="126"/>
      <c r="O158" s="126"/>
      <c r="P158" s="13"/>
      <c r="Q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</row>
    <row r="159" spans="1:53" ht="15.75" x14ac:dyDescent="0.25">
      <c r="A159" s="224" t="str">
        <f>References!$F$2</f>
        <v>Name</v>
      </c>
      <c r="B159" s="225"/>
      <c r="C159" s="222" t="s">
        <v>102</v>
      </c>
      <c r="D159" s="223"/>
      <c r="K159" s="126"/>
      <c r="L159" s="13"/>
      <c r="M159" s="13"/>
      <c r="N159" s="126"/>
      <c r="O159" s="126"/>
      <c r="P159" s="13"/>
      <c r="Q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</row>
    <row r="160" spans="1:53" ht="15.75" x14ac:dyDescent="0.25">
      <c r="A160" s="212" t="str">
        <f>References!$F$3</f>
        <v>Class</v>
      </c>
      <c r="B160" s="213"/>
      <c r="C160" s="218" t="str">
        <f>References!$E$3</f>
        <v>Mercenary</v>
      </c>
      <c r="D160" s="219"/>
      <c r="K160" s="126"/>
      <c r="L160" s="13"/>
      <c r="M160" s="13"/>
      <c r="N160" s="126"/>
      <c r="O160" s="126"/>
      <c r="P160" s="13"/>
      <c r="Q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</row>
    <row r="161" spans="1:53" ht="15.75" x14ac:dyDescent="0.25">
      <c r="A161" s="212" t="str">
        <f>References!$F$4</f>
        <v>Type</v>
      </c>
      <c r="B161" s="213"/>
      <c r="C161" s="218" t="str">
        <f>References!$B$3</f>
        <v>Defensive</v>
      </c>
      <c r="D161" s="219"/>
      <c r="K161" s="126"/>
      <c r="L161" s="13"/>
      <c r="M161" s="13"/>
      <c r="N161" s="126"/>
      <c r="O161" s="126"/>
      <c r="P161" s="13"/>
      <c r="Q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</row>
    <row r="162" spans="1:53" ht="15.75" x14ac:dyDescent="0.25">
      <c r="A162" s="212" t="str">
        <f>References!$F$5</f>
        <v>Nb. Targets</v>
      </c>
      <c r="B162" s="213"/>
      <c r="C162" s="218">
        <v>1</v>
      </c>
      <c r="D162" s="219"/>
      <c r="K162" s="126"/>
      <c r="L162" s="13"/>
      <c r="M162" s="13"/>
      <c r="N162" s="126"/>
      <c r="O162" s="126"/>
      <c r="P162" s="13"/>
      <c r="Q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</row>
    <row r="163" spans="1:53" ht="16.5" thickBot="1" x14ac:dyDescent="0.3">
      <c r="A163" s="214" t="str">
        <f>References!$F$6</f>
        <v>Energy cost</v>
      </c>
      <c r="B163" s="215"/>
      <c r="C163" s="216">
        <v>2</v>
      </c>
      <c r="D163" s="217"/>
      <c r="E163" s="154"/>
      <c r="F163" s="156"/>
      <c r="G163" s="156"/>
      <c r="H163" s="156"/>
      <c r="I163" s="13"/>
      <c r="K163" s="154"/>
      <c r="L163" s="13"/>
      <c r="M163" s="13"/>
      <c r="N163" s="154"/>
      <c r="O163" s="154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</row>
    <row r="164" spans="1:53" ht="15.75" x14ac:dyDescent="0.25">
      <c r="A164" s="213" t="s">
        <v>111</v>
      </c>
      <c r="B164" s="213"/>
      <c r="C164" s="210">
        <v>1</v>
      </c>
      <c r="D164" s="210"/>
      <c r="E164" s="13"/>
      <c r="F164" s="13"/>
      <c r="G164" s="13"/>
      <c r="H164" s="13"/>
      <c r="I164" s="13"/>
      <c r="K164" s="154"/>
      <c r="L164" s="13"/>
      <c r="M164" s="13"/>
      <c r="N164" s="154"/>
      <c r="O164" s="154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</row>
    <row r="165" spans="1:53" ht="16.5" thickBot="1" x14ac:dyDescent="0.3">
      <c r="A165" s="213" t="s">
        <v>110</v>
      </c>
      <c r="B165" s="213"/>
      <c r="C165" s="210">
        <v>0</v>
      </c>
      <c r="D165" s="210"/>
      <c r="E165" s="13"/>
      <c r="F165" s="13" t="s">
        <v>121</v>
      </c>
      <c r="G165" s="13">
        <f>_xlfn.FLOOR.MATH(10/IF(OR(C163=1,C163=0),2,C163))</f>
        <v>5</v>
      </c>
      <c r="K165" s="154"/>
      <c r="L165" s="13"/>
      <c r="M165" s="13"/>
      <c r="N165" s="154"/>
      <c r="O165" s="154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</row>
    <row r="166" spans="1:53" ht="16.5" thickBot="1" x14ac:dyDescent="0.3">
      <c r="A166" s="133" t="str">
        <f>References!$G$2</f>
        <v>Type</v>
      </c>
      <c r="B166" s="135" t="str">
        <f>References!$G$3</f>
        <v>Stat</v>
      </c>
      <c r="C166" s="146" t="str">
        <f>References!$G$7</f>
        <v>Nb</v>
      </c>
      <c r="D166" s="147" t="str">
        <f>References!$G$8</f>
        <v>Turns</v>
      </c>
      <c r="E166" s="152"/>
      <c r="F166" s="13" t="s">
        <v>119</v>
      </c>
      <c r="G166" s="176" t="s">
        <v>120</v>
      </c>
      <c r="H166" s="13" t="s">
        <v>123</v>
      </c>
      <c r="I166" s="176" t="s">
        <v>124</v>
      </c>
      <c r="L166" s="13"/>
      <c r="M166" s="13"/>
      <c r="P166" s="13"/>
      <c r="Q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</row>
    <row r="167" spans="1:53" ht="16.5" thickBot="1" x14ac:dyDescent="0.3">
      <c r="A167" s="129" t="str">
        <f>References!$C$2</f>
        <v>Direct</v>
      </c>
      <c r="B167" s="139" t="str">
        <f>References!$A$5</f>
        <v>def</v>
      </c>
      <c r="C167" s="141">
        <v>2</v>
      </c>
      <c r="D167" s="175"/>
      <c r="E167" s="13"/>
      <c r="F167" s="13">
        <f>(C167+(1*C165))*C162</f>
        <v>2</v>
      </c>
      <c r="G167">
        <f>IF(D167="",F167,F167*D167)</f>
        <v>2</v>
      </c>
      <c r="H167">
        <f>(C167-(1-C165)*1)*C162</f>
        <v>1</v>
      </c>
      <c r="I167">
        <f>IF(D167="",H167,H167*D167)</f>
        <v>1</v>
      </c>
      <c r="L167" s="13"/>
      <c r="M167" s="13"/>
      <c r="P167" s="13"/>
      <c r="Q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</row>
    <row r="168" spans="1:53" ht="16.5" thickBot="1" x14ac:dyDescent="0.3">
      <c r="A168" s="127" t="str">
        <f>References!$C$2</f>
        <v>Direct</v>
      </c>
      <c r="B168" s="139" t="str">
        <f>References!$A$7</f>
        <v>rtl</v>
      </c>
      <c r="C168" s="141">
        <v>2</v>
      </c>
      <c r="D168" s="145"/>
      <c r="E168" s="13"/>
      <c r="F168" s="13">
        <f>(C168+(1*C165))*C162</f>
        <v>2</v>
      </c>
      <c r="G168">
        <f>IF(D168="",F168,F168*D168)</f>
        <v>2</v>
      </c>
      <c r="H168">
        <f>(C168-(1-C165)*1)*C162</f>
        <v>1</v>
      </c>
      <c r="I168">
        <f>IF(D168="",H168,H168*D168)</f>
        <v>1</v>
      </c>
      <c r="L168" s="13"/>
      <c r="M168" s="13"/>
      <c r="P168" s="13"/>
      <c r="Q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</row>
    <row r="169" spans="1:53" ht="16.5" thickBot="1" x14ac:dyDescent="0.3">
      <c r="A169" s="129" t="str">
        <f>References!$C$3</f>
        <v>Temp</v>
      </c>
      <c r="B169" s="139" t="str">
        <f>References!$A$5</f>
        <v>def</v>
      </c>
      <c r="C169" s="144">
        <v>2</v>
      </c>
      <c r="D169" s="142">
        <v>1</v>
      </c>
      <c r="E169" s="13"/>
      <c r="F169" s="13">
        <f>(C169+(1*C165))*C162</f>
        <v>2</v>
      </c>
      <c r="G169">
        <f>IF(D169="",F169,F169*D169)</f>
        <v>2</v>
      </c>
      <c r="H169">
        <f>(C169-(1-C165)*1)*C162</f>
        <v>1</v>
      </c>
      <c r="I169">
        <f>IF(D169="",H169,H169*D169)</f>
        <v>1</v>
      </c>
      <c r="L169" s="13"/>
      <c r="M169" s="13"/>
      <c r="P169" s="13"/>
      <c r="Q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</row>
    <row r="170" spans="1:53" ht="16.5" thickBot="1" x14ac:dyDescent="0.3">
      <c r="A170" s="129" t="str">
        <f>References!$C$3</f>
        <v>Temp</v>
      </c>
      <c r="B170" s="139" t="str">
        <f>References!$A$7</f>
        <v>rtl</v>
      </c>
      <c r="C170" s="141">
        <v>2</v>
      </c>
      <c r="D170" s="142">
        <v>1</v>
      </c>
      <c r="E170" s="13"/>
      <c r="F170" s="13">
        <f>(C170+(1*C165))*C162</f>
        <v>2</v>
      </c>
      <c r="G170">
        <f>IF(D170="",F170,F170*D170)</f>
        <v>2</v>
      </c>
      <c r="H170">
        <f>(C170-(1-C165)*1)*C162</f>
        <v>1</v>
      </c>
      <c r="I170">
        <f>IF(D170="",H170,H170*D170)</f>
        <v>1</v>
      </c>
      <c r="L170" s="13"/>
      <c r="M170" s="13"/>
      <c r="P170" s="13"/>
      <c r="Q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</row>
    <row r="171" spans="1:53" x14ac:dyDescent="0.25">
      <c r="E171" s="13"/>
      <c r="F171" s="13" t="s">
        <v>112</v>
      </c>
      <c r="G171" s="126">
        <f>SUM(G167:G170)</f>
        <v>8</v>
      </c>
      <c r="I171" s="13">
        <f>SUM(I167:I170)</f>
        <v>4</v>
      </c>
      <c r="J171" s="13"/>
      <c r="M171" s="13"/>
      <c r="N171" s="13"/>
      <c r="Q171" s="13"/>
      <c r="R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S171" s="13"/>
      <c r="AT171" s="13"/>
      <c r="AU171" s="13"/>
      <c r="AV171" s="13"/>
      <c r="AW171" s="13"/>
      <c r="AX171" s="13"/>
      <c r="AY171" s="13"/>
      <c r="AZ171" s="13"/>
      <c r="BA171" s="13"/>
    </row>
    <row r="172" spans="1:53" x14ac:dyDescent="0.25">
      <c r="E172" s="13"/>
      <c r="F172" s="13"/>
      <c r="G172" s="13"/>
      <c r="H172" s="13"/>
      <c r="I172" s="13"/>
      <c r="K172" s="126"/>
      <c r="L172" s="13"/>
      <c r="M172" s="13"/>
      <c r="N172" s="126"/>
      <c r="O172" s="126"/>
      <c r="P172" s="13"/>
      <c r="Q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</row>
    <row r="173" spans="1:53" x14ac:dyDescent="0.25">
      <c r="E173" s="13"/>
      <c r="F173" s="152" t="s">
        <v>115</v>
      </c>
      <c r="G173" s="13" t="s">
        <v>114</v>
      </c>
      <c r="H173" s="192" t="s">
        <v>116</v>
      </c>
      <c r="I173" s="126" t="s">
        <v>113</v>
      </c>
      <c r="J173" s="152" t="s">
        <v>117</v>
      </c>
      <c r="K173" s="193" t="s">
        <v>122</v>
      </c>
      <c r="L173" s="126"/>
      <c r="O173" s="126"/>
      <c r="P173" s="13"/>
      <c r="Q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</row>
    <row r="174" spans="1:53" x14ac:dyDescent="0.25">
      <c r="E174" s="13"/>
      <c r="F174" s="13">
        <f>(G171/(20*C162))*100</f>
        <v>40</v>
      </c>
      <c r="G174" s="13">
        <f>G171*G165</f>
        <v>40</v>
      </c>
      <c r="H174">
        <f>(104.3421 + (9.456889 - 104.3421)/(1 + (G174/39.91202)^3.274503))/C162</f>
        <v>57.070529135923124</v>
      </c>
      <c r="I174" s="126">
        <f>G171/C163</f>
        <v>4</v>
      </c>
      <c r="J174" s="13">
        <f>(I174/20)*100</f>
        <v>20</v>
      </c>
      <c r="K174" s="13">
        <f>(0.3*F174)+(0.3*H174)+(0.4*J174)</f>
        <v>37.121158740776934</v>
      </c>
      <c r="L174" s="13"/>
      <c r="M174" s="13"/>
      <c r="N174" s="126"/>
      <c r="O174" s="126"/>
      <c r="P174" s="13"/>
      <c r="Q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</row>
    <row r="175" spans="1:53" x14ac:dyDescent="0.25">
      <c r="E175" s="13"/>
      <c r="F175" s="152" t="s">
        <v>115</v>
      </c>
      <c r="G175" s="13" t="s">
        <v>114</v>
      </c>
      <c r="H175" s="192" t="s">
        <v>116</v>
      </c>
      <c r="I175" s="126" t="s">
        <v>113</v>
      </c>
      <c r="J175" s="152" t="s">
        <v>117</v>
      </c>
      <c r="K175" s="193" t="s">
        <v>127</v>
      </c>
      <c r="N175" s="126"/>
      <c r="O175" s="126"/>
      <c r="P175" s="13"/>
      <c r="Q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</row>
    <row r="176" spans="1:53" x14ac:dyDescent="0.25">
      <c r="E176" s="13"/>
      <c r="F176" s="13">
        <f>(I171/(20*C162))*100</f>
        <v>20</v>
      </c>
      <c r="G176" s="13">
        <f>G165*I171</f>
        <v>20</v>
      </c>
      <c r="H176">
        <f>(104.3421 + (9.456889 - 104.3421)/(1 + (G176/39.91202)^3.274503))/C162</f>
        <v>18.402332953369765</v>
      </c>
      <c r="I176" s="126">
        <f>I171/C163</f>
        <v>2</v>
      </c>
      <c r="J176" s="13">
        <f>(I176/20)*100</f>
        <v>10</v>
      </c>
      <c r="K176" s="13">
        <f>(0.3*F176)+(0.3*H176)+(0.4*J176)</f>
        <v>15.520699886010929</v>
      </c>
      <c r="N176" s="126"/>
      <c r="O176" s="126"/>
      <c r="P176" s="13"/>
      <c r="Q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</row>
    <row r="177" spans="1:53" x14ac:dyDescent="0.25">
      <c r="E177" s="13"/>
      <c r="F177" s="152" t="s">
        <v>126</v>
      </c>
      <c r="G177" s="13">
        <f>(C167/5)*100</f>
        <v>40</v>
      </c>
      <c r="I177" s="126"/>
      <c r="J177" s="13"/>
      <c r="K177" s="13"/>
      <c r="N177" s="126"/>
      <c r="O177" s="126"/>
      <c r="P177" s="13"/>
      <c r="Q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</row>
    <row r="178" spans="1:53" x14ac:dyDescent="0.25">
      <c r="E178" s="13"/>
      <c r="F178" s="152" t="s">
        <v>118</v>
      </c>
      <c r="G178" s="13">
        <f>(0.25*K176)+(0.6*K174)+(0.15*G177)</f>
        <v>32.152870215968889</v>
      </c>
      <c r="I178" s="126"/>
      <c r="J178" s="13"/>
      <c r="K178" s="13"/>
      <c r="N178" s="126"/>
      <c r="O178" s="126"/>
      <c r="P178" s="13"/>
      <c r="Q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</row>
    <row r="179" spans="1:53" ht="15.75" x14ac:dyDescent="0.25">
      <c r="A179" s="10"/>
      <c r="B179" s="10"/>
      <c r="C179" s="10"/>
      <c r="D179" s="10"/>
      <c r="E179" s="148"/>
      <c r="F179" s="151"/>
      <c r="G179" s="151"/>
      <c r="H179" s="151"/>
      <c r="I179" s="10"/>
      <c r="K179" s="148"/>
      <c r="L179" s="13"/>
      <c r="M179" s="13"/>
      <c r="N179" s="148"/>
      <c r="O179" s="148"/>
      <c r="P179" s="13"/>
      <c r="Q179" s="13"/>
      <c r="R179" s="10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</row>
    <row r="180" spans="1:53" ht="15.75" thickBot="1" x14ac:dyDescent="0.3">
      <c r="K180" s="126"/>
      <c r="L180" s="13"/>
      <c r="M180" s="13"/>
      <c r="N180" s="126"/>
      <c r="O180" s="126"/>
      <c r="P180" s="13"/>
      <c r="Q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</row>
    <row r="181" spans="1:53" ht="15.75" x14ac:dyDescent="0.25">
      <c r="A181" s="224" t="str">
        <f>References!$F$2</f>
        <v>Name</v>
      </c>
      <c r="B181" s="225"/>
      <c r="C181" s="222" t="s">
        <v>103</v>
      </c>
      <c r="D181" s="223"/>
      <c r="K181" s="126"/>
      <c r="L181" s="13"/>
      <c r="M181" s="13"/>
      <c r="N181" s="126"/>
      <c r="O181" s="126"/>
      <c r="P181" s="13"/>
      <c r="Q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</row>
    <row r="182" spans="1:53" ht="15.75" x14ac:dyDescent="0.25">
      <c r="A182" s="212" t="str">
        <f>References!$F$3</f>
        <v>Class</v>
      </c>
      <c r="B182" s="213"/>
      <c r="C182" s="218" t="str">
        <f>References!$E$4</f>
        <v>Warlord</v>
      </c>
      <c r="D182" s="219"/>
      <c r="K182" s="126"/>
      <c r="L182" s="13"/>
      <c r="M182" s="13"/>
      <c r="N182" s="126"/>
      <c r="O182" s="126"/>
      <c r="P182" s="13"/>
      <c r="Q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</row>
    <row r="183" spans="1:53" ht="15.75" x14ac:dyDescent="0.25">
      <c r="A183" s="212" t="str">
        <f>References!$F$4</f>
        <v>Type</v>
      </c>
      <c r="B183" s="213"/>
      <c r="C183" s="218" t="str">
        <f>References!$B$2</f>
        <v>Offensive</v>
      </c>
      <c r="D183" s="219"/>
      <c r="K183" s="126"/>
      <c r="L183" s="13"/>
      <c r="M183" s="13"/>
      <c r="N183" s="126"/>
      <c r="O183" s="126"/>
      <c r="P183" s="13"/>
      <c r="Q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</row>
    <row r="184" spans="1:53" ht="15.75" x14ac:dyDescent="0.25">
      <c r="A184" s="212" t="str">
        <f>References!$F$5</f>
        <v>Nb. Targets</v>
      </c>
      <c r="B184" s="213"/>
      <c r="C184" s="218">
        <v>1</v>
      </c>
      <c r="D184" s="219"/>
      <c r="K184" s="126"/>
      <c r="L184" s="13"/>
      <c r="M184" s="13"/>
      <c r="N184" s="126"/>
      <c r="O184" s="126"/>
      <c r="P184" s="13"/>
      <c r="Q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</row>
    <row r="185" spans="1:53" ht="16.5" thickBot="1" x14ac:dyDescent="0.3">
      <c r="A185" s="214" t="str">
        <f>References!$F$6</f>
        <v>Energy cost</v>
      </c>
      <c r="B185" s="215"/>
      <c r="C185" s="216">
        <v>3</v>
      </c>
      <c r="D185" s="217"/>
      <c r="E185" s="154"/>
      <c r="F185" s="156"/>
      <c r="G185" s="156"/>
      <c r="H185" s="156"/>
      <c r="I185" s="13"/>
      <c r="K185" s="154"/>
      <c r="L185" s="13"/>
      <c r="M185" s="13"/>
      <c r="N185" s="154"/>
      <c r="O185" s="154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</row>
    <row r="186" spans="1:53" ht="15.75" x14ac:dyDescent="0.25">
      <c r="A186" s="212" t="s">
        <v>111</v>
      </c>
      <c r="B186" s="213"/>
      <c r="C186" s="210">
        <v>1</v>
      </c>
      <c r="D186" s="211"/>
      <c r="E186" s="13"/>
      <c r="F186" s="13"/>
      <c r="G186" s="13"/>
      <c r="H186" s="13"/>
      <c r="I186" s="13"/>
      <c r="K186" s="154"/>
      <c r="L186" s="13"/>
      <c r="M186" s="13"/>
      <c r="N186" s="154"/>
      <c r="O186" s="154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</row>
    <row r="187" spans="1:53" ht="16.5" thickBot="1" x14ac:dyDescent="0.3">
      <c r="A187" s="212" t="s">
        <v>110</v>
      </c>
      <c r="B187" s="213"/>
      <c r="C187" s="210">
        <v>0.66700000000000004</v>
      </c>
      <c r="D187" s="211"/>
      <c r="E187" s="13"/>
      <c r="F187" s="13" t="s">
        <v>121</v>
      </c>
      <c r="G187" s="13">
        <f>_xlfn.FLOOR.MATH(10/IF(OR(C185=1,C185=0),2,C185))</f>
        <v>3</v>
      </c>
      <c r="K187" s="154"/>
      <c r="L187" s="13"/>
      <c r="M187" s="13"/>
      <c r="N187" s="154"/>
      <c r="O187" s="154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</row>
    <row r="188" spans="1:53" ht="16.5" thickBot="1" x14ac:dyDescent="0.3">
      <c r="A188" s="133" t="str">
        <f>References!$G$2</f>
        <v>Type</v>
      </c>
      <c r="B188" s="135" t="str">
        <f>References!$G$3</f>
        <v>Stat</v>
      </c>
      <c r="C188" s="146" t="str">
        <f>References!$G$7</f>
        <v>Nb</v>
      </c>
      <c r="D188" s="182" t="str">
        <f>References!$G$8</f>
        <v>Turns</v>
      </c>
      <c r="E188" s="152"/>
      <c r="F188" s="13" t="s">
        <v>119</v>
      </c>
      <c r="G188" s="176" t="s">
        <v>120</v>
      </c>
      <c r="H188" s="13" t="s">
        <v>123</v>
      </c>
      <c r="I188" s="176" t="s">
        <v>124</v>
      </c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</row>
    <row r="189" spans="1:53" ht="16.5" thickBot="1" x14ac:dyDescent="0.3">
      <c r="A189" s="127" t="str">
        <f>References!$C$2</f>
        <v>Direct</v>
      </c>
      <c r="B189" s="143" t="str">
        <f>References!$A$2</f>
        <v>dmg</v>
      </c>
      <c r="C189" s="144">
        <v>6</v>
      </c>
      <c r="D189" s="172"/>
      <c r="E189" s="13"/>
      <c r="F189" s="13">
        <f>(C189+(1*C187))*C184</f>
        <v>6.6669999999999998</v>
      </c>
      <c r="G189">
        <f>IF(D189="",F189,F189*D189)</f>
        <v>6.6669999999999998</v>
      </c>
      <c r="H189">
        <f>(C189-(1-C187)*1)*C184</f>
        <v>5.6669999999999998</v>
      </c>
      <c r="I189">
        <f>IF(D189="",H189,H189*D189)</f>
        <v>5.6669999999999998</v>
      </c>
      <c r="K189" s="13"/>
      <c r="L189" s="13"/>
      <c r="M189" s="13"/>
      <c r="N189" s="13"/>
      <c r="O189" s="13"/>
      <c r="P189" s="13"/>
      <c r="Q189" s="13"/>
      <c r="R189" s="156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</row>
    <row r="190" spans="1:53" ht="16.5" thickBot="1" x14ac:dyDescent="0.3">
      <c r="A190" s="127" t="str">
        <f>References!$C$2</f>
        <v>Direct</v>
      </c>
      <c r="B190" s="143" t="str">
        <f>References!$A$8</f>
        <v>stun</v>
      </c>
      <c r="C190" s="141">
        <v>1</v>
      </c>
      <c r="D190" s="172"/>
      <c r="E190" s="13"/>
      <c r="F190" s="13">
        <f>(C190+(1*C187))*C184</f>
        <v>1.667</v>
      </c>
      <c r="G190">
        <f>IF(D190="",F190,F190*D190)</f>
        <v>1.667</v>
      </c>
      <c r="H190">
        <f>(C190-(1-C187)*1)*C184</f>
        <v>0.66700000000000004</v>
      </c>
      <c r="I190">
        <f>IF(D190="",H190,H190*D190)</f>
        <v>0.66700000000000004</v>
      </c>
      <c r="K190" s="13"/>
      <c r="L190" s="13"/>
      <c r="M190" s="13"/>
      <c r="N190" s="13"/>
      <c r="O190" s="13"/>
      <c r="P190" s="13"/>
      <c r="Q190" s="13"/>
      <c r="R190" s="156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</row>
    <row r="191" spans="1:53" x14ac:dyDescent="0.25">
      <c r="E191" s="13"/>
      <c r="F191" s="13" t="s">
        <v>112</v>
      </c>
      <c r="G191">
        <f>SUM(G189:G190)</f>
        <v>8.3339999999999996</v>
      </c>
      <c r="I191" s="13">
        <f>SUM(I189:I190)</f>
        <v>6.3339999999999996</v>
      </c>
      <c r="J191" s="13"/>
      <c r="M191" s="13"/>
      <c r="N191" s="13"/>
      <c r="Q191" s="13"/>
      <c r="R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S191" s="13"/>
      <c r="AT191" s="13"/>
      <c r="AU191" s="13"/>
      <c r="AV191" s="13"/>
      <c r="AW191" s="13"/>
      <c r="AX191" s="13"/>
      <c r="AY191" s="13"/>
      <c r="AZ191" s="13"/>
      <c r="BA191" s="13"/>
    </row>
    <row r="192" spans="1:53" x14ac:dyDescent="0.25">
      <c r="E192" s="13"/>
      <c r="F192" s="13"/>
      <c r="G192" s="13"/>
      <c r="H192" s="13"/>
      <c r="I192" s="13"/>
      <c r="K192" s="126"/>
      <c r="L192" s="13"/>
      <c r="M192" s="13"/>
      <c r="N192" s="126"/>
      <c r="O192" s="126"/>
      <c r="P192" s="13"/>
      <c r="Q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</row>
    <row r="193" spans="1:53" x14ac:dyDescent="0.25">
      <c r="E193" s="13"/>
      <c r="F193" s="152" t="s">
        <v>115</v>
      </c>
      <c r="G193" s="13" t="s">
        <v>114</v>
      </c>
      <c r="H193" s="192" t="s">
        <v>116</v>
      </c>
      <c r="I193" s="126" t="s">
        <v>113</v>
      </c>
      <c r="J193" s="152" t="s">
        <v>117</v>
      </c>
      <c r="K193" s="193" t="s">
        <v>122</v>
      </c>
      <c r="L193" s="126"/>
      <c r="O193" s="126"/>
      <c r="P193" s="13"/>
      <c r="Q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</row>
    <row r="194" spans="1:53" x14ac:dyDescent="0.25">
      <c r="E194" s="13"/>
      <c r="F194" s="13">
        <f>(G191/(20*C184))*100</f>
        <v>41.669999999999995</v>
      </c>
      <c r="G194" s="13">
        <f>G191*G187</f>
        <v>25.001999999999999</v>
      </c>
      <c r="H194">
        <f>(104.3421 + (9.456889 - 104.3421)/(1 + (G194/39.91202)^3.274503))/C184</f>
        <v>26.324264580955216</v>
      </c>
      <c r="I194" s="126">
        <f>G191/C185</f>
        <v>2.778</v>
      </c>
      <c r="J194" s="13">
        <f>(I194/20)*100</f>
        <v>13.889999999999999</v>
      </c>
      <c r="K194" s="13">
        <f>(0.3*F194)+(0.3*H194)+(0.4*J194)</f>
        <v>25.954279374286564</v>
      </c>
      <c r="N194" s="126"/>
      <c r="O194" s="126"/>
      <c r="P194" s="13"/>
      <c r="Q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</row>
    <row r="195" spans="1:53" x14ac:dyDescent="0.25">
      <c r="E195" s="13"/>
      <c r="F195" s="152" t="s">
        <v>115</v>
      </c>
      <c r="G195" s="13" t="s">
        <v>114</v>
      </c>
      <c r="H195" s="192" t="s">
        <v>116</v>
      </c>
      <c r="I195" s="126" t="s">
        <v>113</v>
      </c>
      <c r="J195" s="152" t="s">
        <v>117</v>
      </c>
      <c r="K195" s="193" t="s">
        <v>127</v>
      </c>
      <c r="N195" s="126"/>
      <c r="O195" s="126"/>
      <c r="P195" s="13"/>
      <c r="Q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</row>
    <row r="196" spans="1:53" x14ac:dyDescent="0.25">
      <c r="E196" s="13"/>
      <c r="F196" s="13">
        <f>(I191/(20*C184))*100</f>
        <v>31.669999999999998</v>
      </c>
      <c r="G196" s="13">
        <f>I191*G187</f>
        <v>19.001999999999999</v>
      </c>
      <c r="H196">
        <f>(104.3421 + (9.456889 - 104.3421)/(1 + (G196/39.91202)^3.274503))/C184</f>
        <v>17.133549923076515</v>
      </c>
      <c r="I196" s="126">
        <f>I191/C185</f>
        <v>2.1113333333333331</v>
      </c>
      <c r="J196" s="13">
        <f>(I196/20)*100</f>
        <v>10.556666666666665</v>
      </c>
      <c r="K196" s="13">
        <f>(0.3*F196)+(0.3*H196)+(0.4*J196)</f>
        <v>18.86373164358962</v>
      </c>
      <c r="N196" s="126"/>
      <c r="O196" s="126"/>
      <c r="P196" s="13"/>
      <c r="Q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</row>
    <row r="197" spans="1:53" x14ac:dyDescent="0.25">
      <c r="E197" s="13"/>
      <c r="F197" s="152" t="s">
        <v>126</v>
      </c>
      <c r="G197" s="13">
        <f>(C186/5)*100</f>
        <v>20</v>
      </c>
      <c r="I197" s="126"/>
      <c r="J197" s="13"/>
      <c r="K197" s="13"/>
      <c r="N197" s="126"/>
      <c r="O197" s="126"/>
      <c r="P197" s="13"/>
      <c r="Q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</row>
    <row r="198" spans="1:53" x14ac:dyDescent="0.25">
      <c r="F198" s="152" t="s">
        <v>118</v>
      </c>
      <c r="G198" s="13">
        <f>(0.25*K196)+(0.6*K194)+(0.15*G197)</f>
        <v>23.288500535469343</v>
      </c>
      <c r="I198" s="126"/>
      <c r="J198" s="13"/>
      <c r="K198" s="13"/>
      <c r="L198" s="13"/>
      <c r="M198" s="13"/>
      <c r="P198" s="13"/>
      <c r="Q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</row>
    <row r="199" spans="1:53" x14ac:dyDescent="0.25">
      <c r="L199" s="13"/>
      <c r="M199" s="13"/>
      <c r="P199" s="13"/>
      <c r="Q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</row>
    <row r="200" spans="1:53" ht="15.75" thickBot="1" x14ac:dyDescent="0.3">
      <c r="K200" s="126"/>
      <c r="L200" s="13"/>
      <c r="M200" s="13"/>
      <c r="N200" s="126"/>
      <c r="O200" s="126"/>
      <c r="P200" s="13"/>
      <c r="Q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</row>
    <row r="201" spans="1:53" ht="15.75" x14ac:dyDescent="0.25">
      <c r="A201" s="224" t="str">
        <f>References!$F$2</f>
        <v>Name</v>
      </c>
      <c r="B201" s="225"/>
      <c r="C201" s="222" t="s">
        <v>30</v>
      </c>
      <c r="D201" s="223"/>
      <c r="K201" s="126"/>
      <c r="L201" s="13"/>
      <c r="M201" s="13"/>
      <c r="N201" s="126"/>
      <c r="O201" s="126"/>
      <c r="P201" s="13"/>
      <c r="Q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</row>
    <row r="202" spans="1:53" ht="15.75" x14ac:dyDescent="0.25">
      <c r="A202" s="212" t="str">
        <f>References!$F$3</f>
        <v>Class</v>
      </c>
      <c r="B202" s="213"/>
      <c r="C202" s="218" t="str">
        <f>References!$E$4</f>
        <v>Warlord</v>
      </c>
      <c r="D202" s="219"/>
      <c r="K202" s="126"/>
      <c r="L202" s="13"/>
      <c r="M202" s="13"/>
      <c r="N202" s="126"/>
      <c r="O202" s="126"/>
      <c r="P202" s="13"/>
      <c r="Q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</row>
    <row r="203" spans="1:53" ht="15.75" x14ac:dyDescent="0.25">
      <c r="A203" s="212" t="str">
        <f>References!$F$4</f>
        <v>Type</v>
      </c>
      <c r="B203" s="213"/>
      <c r="C203" s="218" t="str">
        <f>References!$B$3</f>
        <v>Defensive</v>
      </c>
      <c r="D203" s="219"/>
      <c r="K203" s="126"/>
      <c r="L203" s="13"/>
      <c r="M203" s="13"/>
      <c r="N203" s="126"/>
      <c r="O203" s="126"/>
      <c r="P203" s="13"/>
      <c r="Q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</row>
    <row r="204" spans="1:53" ht="15.75" x14ac:dyDescent="0.25">
      <c r="A204" s="212" t="str">
        <f>References!$F$5</f>
        <v>Nb. Targets</v>
      </c>
      <c r="B204" s="213"/>
      <c r="C204" s="218">
        <v>1</v>
      </c>
      <c r="D204" s="219"/>
      <c r="K204" s="126"/>
      <c r="L204" s="13"/>
      <c r="M204" s="13"/>
      <c r="N204" s="126"/>
      <c r="O204" s="126"/>
      <c r="P204" s="13"/>
      <c r="Q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</row>
    <row r="205" spans="1:53" ht="16.5" thickBot="1" x14ac:dyDescent="0.3">
      <c r="A205" s="214" t="str">
        <f>References!$F$6</f>
        <v>Energy cost</v>
      </c>
      <c r="B205" s="215"/>
      <c r="C205" s="216">
        <v>2</v>
      </c>
      <c r="D205" s="217"/>
      <c r="E205" s="154"/>
      <c r="F205" s="156"/>
      <c r="G205" s="156"/>
      <c r="H205" s="156"/>
      <c r="I205" s="13"/>
      <c r="K205" s="154"/>
      <c r="L205" s="13"/>
      <c r="M205" s="13"/>
      <c r="N205" s="154"/>
      <c r="O205" s="154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</row>
    <row r="206" spans="1:53" ht="15.75" x14ac:dyDescent="0.25">
      <c r="A206" s="212" t="s">
        <v>111</v>
      </c>
      <c r="B206" s="213"/>
      <c r="C206" s="210">
        <v>1</v>
      </c>
      <c r="D206" s="211"/>
      <c r="E206" s="13"/>
      <c r="F206" s="13"/>
      <c r="G206" s="13"/>
      <c r="H206" s="13"/>
      <c r="I206" s="13"/>
      <c r="K206" s="154"/>
      <c r="L206" s="13"/>
      <c r="M206" s="13"/>
      <c r="N206" s="154"/>
      <c r="O206" s="154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</row>
    <row r="207" spans="1:53" ht="16.5" thickBot="1" x14ac:dyDescent="0.3">
      <c r="A207" s="212" t="s">
        <v>110</v>
      </c>
      <c r="B207" s="213"/>
      <c r="C207" s="210">
        <v>0.17</v>
      </c>
      <c r="D207" s="211"/>
      <c r="E207" s="13"/>
      <c r="F207" s="13" t="s">
        <v>121</v>
      </c>
      <c r="G207" s="13">
        <f>_xlfn.FLOOR.MATH(10/IF(OR(C205=1,C205=0),2,C205))</f>
        <v>5</v>
      </c>
      <c r="K207" s="154"/>
      <c r="L207" s="13"/>
      <c r="M207" s="13"/>
      <c r="N207" s="154"/>
      <c r="O207" s="154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</row>
    <row r="208" spans="1:53" ht="16.5" thickBot="1" x14ac:dyDescent="0.3">
      <c r="A208" s="133" t="str">
        <f>References!$G$2</f>
        <v>Type</v>
      </c>
      <c r="B208" s="135" t="str">
        <f>References!$G$3</f>
        <v>Stat</v>
      </c>
      <c r="C208" s="146" t="str">
        <f>References!$G$7</f>
        <v>Nb</v>
      </c>
      <c r="D208" s="182" t="str">
        <f>References!$G$8</f>
        <v>Turns</v>
      </c>
      <c r="E208" s="152"/>
      <c r="F208" s="13" t="s">
        <v>119</v>
      </c>
      <c r="G208" s="176" t="s">
        <v>120</v>
      </c>
      <c r="H208" s="13" t="s">
        <v>123</v>
      </c>
      <c r="I208" s="176" t="s">
        <v>124</v>
      </c>
      <c r="M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</row>
    <row r="209" spans="1:53" ht="16.5" thickBot="1" x14ac:dyDescent="0.3">
      <c r="A209" s="127" t="str">
        <f>References!$C$2</f>
        <v>Direct</v>
      </c>
      <c r="B209" s="143" t="str">
        <f>References!$A$3</f>
        <v>hp</v>
      </c>
      <c r="C209" s="144">
        <v>6</v>
      </c>
      <c r="D209" s="172"/>
      <c r="E209" s="13"/>
      <c r="F209" s="13">
        <f>(C209+(1*C207))*C204</f>
        <v>6.17</v>
      </c>
      <c r="G209">
        <f>IF(D209="",F209,F209*D209)</f>
        <v>6.17</v>
      </c>
      <c r="H209">
        <f>(C209-(1-C207)*1)*C204</f>
        <v>5.17</v>
      </c>
      <c r="I209">
        <f>IF(D209="",H209,H209*D209)</f>
        <v>5.17</v>
      </c>
      <c r="M209" s="13"/>
      <c r="P209" s="13"/>
      <c r="Q209" s="13"/>
      <c r="R209" s="156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</row>
    <row r="210" spans="1:53" x14ac:dyDescent="0.25">
      <c r="E210" s="13"/>
      <c r="F210" s="13" t="s">
        <v>112</v>
      </c>
      <c r="G210">
        <f>SUM(G209)</f>
        <v>6.17</v>
      </c>
      <c r="I210" s="13">
        <f>SUM(I209)</f>
        <v>5.17</v>
      </c>
      <c r="J210" s="13"/>
      <c r="M210" s="13"/>
      <c r="N210" s="13"/>
      <c r="Q210" s="13"/>
      <c r="R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S210" s="13"/>
      <c r="AT210" s="13"/>
      <c r="AU210" s="13"/>
      <c r="AV210" s="13"/>
      <c r="AW210" s="13"/>
      <c r="AX210" s="13"/>
      <c r="AY210" s="13"/>
      <c r="AZ210" s="13"/>
      <c r="BA210" s="13"/>
    </row>
    <row r="211" spans="1:53" x14ac:dyDescent="0.25">
      <c r="E211" s="13"/>
      <c r="F211" s="13"/>
      <c r="G211" s="13"/>
      <c r="H211" s="13"/>
      <c r="I211" s="13"/>
      <c r="K211" s="126"/>
      <c r="L211" s="13"/>
      <c r="M211" s="13"/>
      <c r="N211" s="126"/>
      <c r="O211" s="126"/>
      <c r="P211" s="13"/>
      <c r="Q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</row>
    <row r="212" spans="1:53" x14ac:dyDescent="0.25">
      <c r="E212" s="13"/>
      <c r="F212" s="152" t="s">
        <v>115</v>
      </c>
      <c r="G212" s="13" t="s">
        <v>114</v>
      </c>
      <c r="H212" s="192" t="s">
        <v>116</v>
      </c>
      <c r="I212" s="126" t="s">
        <v>113</v>
      </c>
      <c r="J212" s="152" t="s">
        <v>117</v>
      </c>
      <c r="K212" s="193" t="s">
        <v>122</v>
      </c>
      <c r="L212" s="126"/>
      <c r="O212" s="126"/>
      <c r="P212" s="13"/>
      <c r="Q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</row>
    <row r="213" spans="1:53" x14ac:dyDescent="0.25">
      <c r="E213" s="13"/>
      <c r="F213" s="13">
        <f>(G210/(20*C204))*100</f>
        <v>30.85</v>
      </c>
      <c r="G213" s="13">
        <f>G210*G207</f>
        <v>30.85</v>
      </c>
      <c r="H213">
        <f>(104.3421 + (9.456889 - 104.3421)/(1 + (G213/39.91202)^3.274503))/C204</f>
        <v>38.001816427458948</v>
      </c>
      <c r="I213" s="126">
        <f>G210/C205</f>
        <v>3.085</v>
      </c>
      <c r="J213" s="13">
        <f>(I213/20)*100</f>
        <v>15.425000000000001</v>
      </c>
      <c r="K213" s="13">
        <f>(0.3*F213)+(0.3*H213)+(0.4*J213)</f>
        <v>26.825544928237687</v>
      </c>
      <c r="N213" s="126"/>
      <c r="O213" s="126"/>
      <c r="P213" s="13"/>
      <c r="Q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</row>
    <row r="214" spans="1:53" x14ac:dyDescent="0.25">
      <c r="E214" s="13"/>
      <c r="F214" s="152" t="s">
        <v>115</v>
      </c>
      <c r="G214" s="13" t="s">
        <v>114</v>
      </c>
      <c r="H214" s="192" t="s">
        <v>116</v>
      </c>
      <c r="I214" s="126" t="s">
        <v>113</v>
      </c>
      <c r="J214" s="152" t="s">
        <v>117</v>
      </c>
      <c r="K214" s="193" t="s">
        <v>127</v>
      </c>
      <c r="N214" s="126"/>
      <c r="O214" s="126"/>
      <c r="P214" s="13"/>
      <c r="Q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</row>
    <row r="215" spans="1:53" x14ac:dyDescent="0.25">
      <c r="E215" s="13"/>
      <c r="F215" s="13">
        <f>(I210/(20*C204))*100</f>
        <v>25.85</v>
      </c>
      <c r="G215" s="13">
        <f>G207*I210</f>
        <v>25.85</v>
      </c>
      <c r="H215">
        <f>(104.3421 + (9.456889 - 104.3421)/(1 + (G215/39.91202)^3.274503))/C204</f>
        <v>27.892673905641558</v>
      </c>
      <c r="I215" s="126">
        <f>I210/C205</f>
        <v>2.585</v>
      </c>
      <c r="J215" s="13">
        <f>(I215/20)*100</f>
        <v>12.925000000000001</v>
      </c>
      <c r="K215" s="13">
        <f>(0.3*F215)+(0.3*H215)+(0.4*J215)</f>
        <v>21.292802171692468</v>
      </c>
      <c r="N215" s="126"/>
      <c r="O215" s="126"/>
      <c r="P215" s="13"/>
      <c r="Q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</row>
    <row r="216" spans="1:53" x14ac:dyDescent="0.25">
      <c r="E216" s="13"/>
      <c r="F216" s="152" t="s">
        <v>126</v>
      </c>
      <c r="G216" s="13">
        <f>(C206/5)*100</f>
        <v>20</v>
      </c>
      <c r="I216" s="126"/>
      <c r="J216" s="13"/>
      <c r="K216" s="13"/>
      <c r="N216" s="126"/>
      <c r="O216" s="126"/>
      <c r="P216" s="13"/>
      <c r="Q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</row>
    <row r="217" spans="1:53" x14ac:dyDescent="0.25">
      <c r="E217" s="13"/>
      <c r="F217" s="152" t="s">
        <v>118</v>
      </c>
      <c r="G217" s="13">
        <f>(0.25*K215)+(0.6*K213)+(0.15*G216)</f>
        <v>24.418527499865728</v>
      </c>
      <c r="I217" s="126"/>
      <c r="J217" s="13"/>
      <c r="K217" s="13"/>
      <c r="N217" s="126"/>
      <c r="O217" s="126"/>
      <c r="P217" s="13"/>
      <c r="Q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</row>
    <row r="218" spans="1:53" x14ac:dyDescent="0.25">
      <c r="E218" s="13"/>
      <c r="F218" s="13"/>
      <c r="G218" s="13"/>
      <c r="H218" s="13"/>
      <c r="I218" s="13"/>
      <c r="L218" s="13"/>
      <c r="M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</row>
    <row r="219" spans="1:53" ht="15.75" thickBot="1" x14ac:dyDescent="0.3">
      <c r="K219" s="126"/>
      <c r="L219" s="13"/>
      <c r="M219" s="13"/>
      <c r="N219" s="126"/>
      <c r="O219" s="126"/>
      <c r="P219" s="13"/>
      <c r="Q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</row>
    <row r="220" spans="1:53" ht="15.75" x14ac:dyDescent="0.25">
      <c r="A220" s="224" t="str">
        <f>References!$F$2</f>
        <v>Name</v>
      </c>
      <c r="B220" s="225"/>
      <c r="C220" s="222" t="s">
        <v>32</v>
      </c>
      <c r="D220" s="223"/>
      <c r="K220" s="126"/>
      <c r="L220" s="13"/>
      <c r="M220" s="13"/>
      <c r="N220" s="126"/>
      <c r="O220" s="126"/>
      <c r="P220" s="13"/>
      <c r="Q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</row>
    <row r="221" spans="1:53" ht="15.75" x14ac:dyDescent="0.25">
      <c r="A221" s="212" t="str">
        <f>References!$F$3</f>
        <v>Class</v>
      </c>
      <c r="B221" s="213"/>
      <c r="C221" s="218" t="str">
        <f>References!$E$5</f>
        <v>Berserker</v>
      </c>
      <c r="D221" s="219"/>
      <c r="K221" s="126"/>
      <c r="L221" s="13"/>
      <c r="M221" s="13"/>
      <c r="N221" s="126"/>
      <c r="O221" s="126"/>
      <c r="P221" s="13"/>
      <c r="Q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</row>
    <row r="222" spans="1:53" ht="15.75" x14ac:dyDescent="0.25">
      <c r="A222" s="212" t="str">
        <f>References!$F$4</f>
        <v>Type</v>
      </c>
      <c r="B222" s="213"/>
      <c r="C222" s="220" t="str">
        <f>References!$B$3</f>
        <v>Defensive</v>
      </c>
      <c r="D222" s="221"/>
      <c r="K222" s="126"/>
      <c r="L222" s="13"/>
      <c r="M222" s="13"/>
      <c r="N222" s="126"/>
      <c r="O222" s="126"/>
      <c r="P222" s="13"/>
      <c r="Q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</row>
    <row r="223" spans="1:53" ht="15.75" x14ac:dyDescent="0.25">
      <c r="A223" s="212" t="str">
        <f>References!$F$5</f>
        <v>Nb. Targets</v>
      </c>
      <c r="B223" s="213"/>
      <c r="C223" s="218">
        <v>3</v>
      </c>
      <c r="D223" s="219"/>
      <c r="K223" s="126"/>
      <c r="L223" s="13"/>
      <c r="M223" s="13"/>
      <c r="N223" s="126"/>
      <c r="O223" s="126"/>
      <c r="P223" s="13"/>
      <c r="Q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</row>
    <row r="224" spans="1:53" ht="16.5" thickBot="1" x14ac:dyDescent="0.3">
      <c r="A224" s="214" t="str">
        <f>References!$F$6</f>
        <v>Energy cost</v>
      </c>
      <c r="B224" s="215"/>
      <c r="C224" s="216">
        <v>2</v>
      </c>
      <c r="D224" s="217"/>
      <c r="E224" s="154"/>
      <c r="F224" s="156"/>
      <c r="G224" s="156"/>
      <c r="H224" s="156"/>
      <c r="I224" s="13"/>
      <c r="K224" s="154"/>
      <c r="L224" s="13"/>
      <c r="M224" s="13"/>
      <c r="N224" s="154"/>
      <c r="O224" s="154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</row>
    <row r="225" spans="1:53" ht="15.75" x14ac:dyDescent="0.25">
      <c r="A225" s="212" t="s">
        <v>111</v>
      </c>
      <c r="B225" s="213"/>
      <c r="C225" s="210">
        <v>1</v>
      </c>
      <c r="D225" s="211"/>
      <c r="E225" s="13"/>
      <c r="F225" s="13"/>
      <c r="G225" s="13"/>
      <c r="H225" s="13"/>
      <c r="I225" s="13"/>
      <c r="K225" s="154"/>
      <c r="L225" s="13"/>
      <c r="M225" s="13"/>
      <c r="N225" s="154"/>
      <c r="O225" s="154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</row>
    <row r="226" spans="1:53" ht="16.5" thickBot="1" x14ac:dyDescent="0.3">
      <c r="A226" s="214" t="s">
        <v>110</v>
      </c>
      <c r="B226" s="215"/>
      <c r="C226" s="208">
        <v>0.33</v>
      </c>
      <c r="D226" s="209"/>
      <c r="E226" s="13"/>
      <c r="F226" s="13" t="s">
        <v>121</v>
      </c>
      <c r="G226" s="13">
        <f>_xlfn.FLOOR.MATH(10/IF(OR(C224=1,C224=0),2,C224))</f>
        <v>5</v>
      </c>
      <c r="K226" s="154"/>
      <c r="L226" s="13"/>
      <c r="M226" s="13"/>
      <c r="N226" s="154"/>
      <c r="O226" s="154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</row>
    <row r="227" spans="1:53" ht="16.5" thickBot="1" x14ac:dyDescent="0.3">
      <c r="A227" s="133" t="str">
        <f>References!$G$2</f>
        <v>Type</v>
      </c>
      <c r="B227" s="135" t="str">
        <f>References!$G$3</f>
        <v>Stat</v>
      </c>
      <c r="C227" s="146" t="str">
        <f>References!$G$7</f>
        <v>Nb</v>
      </c>
      <c r="D227" s="182" t="str">
        <f>References!$G$8</f>
        <v>Turns</v>
      </c>
      <c r="E227" s="152"/>
      <c r="F227" s="13" t="s">
        <v>119</v>
      </c>
      <c r="G227" s="176" t="s">
        <v>120</v>
      </c>
      <c r="H227" s="13" t="s">
        <v>123</v>
      </c>
      <c r="I227" s="176" t="s">
        <v>124</v>
      </c>
      <c r="L227" s="13"/>
      <c r="M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</row>
    <row r="228" spans="1:53" ht="16.5" thickBot="1" x14ac:dyDescent="0.3">
      <c r="A228" s="129" t="str">
        <f>References!$C$2</f>
        <v>Direct</v>
      </c>
      <c r="B228" s="139" t="str">
        <f>References!$A$2</f>
        <v>dmg</v>
      </c>
      <c r="C228" s="141">
        <v>4</v>
      </c>
      <c r="D228" s="180"/>
      <c r="E228" s="13"/>
      <c r="F228" s="13">
        <f>(C228+(1*C226))*C223</f>
        <v>12.99</v>
      </c>
      <c r="G228">
        <f>IF(D228="",F228,F228*D228)</f>
        <v>12.99</v>
      </c>
      <c r="H228">
        <f>(C228-(1-C226)*1)*C223</f>
        <v>9.99</v>
      </c>
      <c r="I228">
        <f>IF(D228="",H228,H228*D228)</f>
        <v>9.99</v>
      </c>
      <c r="L228" s="13"/>
      <c r="M228" s="13"/>
      <c r="P228" s="13"/>
      <c r="Q228" s="13"/>
      <c r="R228" s="156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</row>
    <row r="229" spans="1:53" x14ac:dyDescent="0.25">
      <c r="E229" s="13"/>
      <c r="F229" s="13" t="s">
        <v>112</v>
      </c>
      <c r="G229">
        <f>SUM(G228)</f>
        <v>12.99</v>
      </c>
      <c r="I229" s="13">
        <f>SUM(I228)</f>
        <v>9.99</v>
      </c>
      <c r="J229" s="13"/>
      <c r="M229" s="13"/>
      <c r="N229" s="13"/>
      <c r="Q229" s="13"/>
      <c r="R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S229" s="13"/>
      <c r="AT229" s="13"/>
      <c r="AU229" s="13"/>
      <c r="AV229" s="13"/>
      <c r="AW229" s="13"/>
      <c r="AX229" s="13"/>
      <c r="AY229" s="13"/>
      <c r="AZ229" s="13"/>
      <c r="BA229" s="13"/>
    </row>
    <row r="230" spans="1:53" x14ac:dyDescent="0.25">
      <c r="E230" s="13"/>
      <c r="F230" s="13"/>
      <c r="G230" s="13"/>
      <c r="H230" s="13"/>
      <c r="I230" s="13"/>
      <c r="K230" s="126"/>
      <c r="L230" s="13"/>
      <c r="M230" s="13"/>
      <c r="N230" s="126"/>
      <c r="O230" s="126"/>
      <c r="P230" s="13"/>
      <c r="Q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</row>
    <row r="231" spans="1:53" x14ac:dyDescent="0.25">
      <c r="E231" s="13"/>
      <c r="F231" s="152" t="s">
        <v>115</v>
      </c>
      <c r="G231" s="13" t="s">
        <v>114</v>
      </c>
      <c r="H231" s="192" t="s">
        <v>116</v>
      </c>
      <c r="I231" s="126" t="s">
        <v>113</v>
      </c>
      <c r="J231" s="152" t="s">
        <v>117</v>
      </c>
      <c r="K231" s="193" t="s">
        <v>122</v>
      </c>
      <c r="L231" s="126"/>
      <c r="O231" s="126"/>
      <c r="P231" s="13"/>
      <c r="Q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</row>
    <row r="232" spans="1:53" x14ac:dyDescent="0.25">
      <c r="E232" s="13"/>
      <c r="F232" s="13">
        <f>(G229/(20*C223))*100</f>
        <v>21.65</v>
      </c>
      <c r="G232" s="13">
        <f>G229*G226</f>
        <v>64.95</v>
      </c>
      <c r="H232">
        <f>(104.3421 + (9.456889 - 104.3421)/(1 + (G232/39.91202)^3.274503))/C223</f>
        <v>29.443295614273925</v>
      </c>
      <c r="I232" s="126">
        <f>G229/C224</f>
        <v>6.4950000000000001</v>
      </c>
      <c r="J232" s="13">
        <f>(I232/20)*100</f>
        <v>32.475000000000001</v>
      </c>
      <c r="K232" s="13">
        <f>(0.3*F232)+(0.3*H232)+(0.4*J232)</f>
        <v>28.317988684282177</v>
      </c>
      <c r="N232" s="126"/>
      <c r="O232" s="126"/>
      <c r="P232" s="13"/>
      <c r="Q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</row>
    <row r="233" spans="1:53" x14ac:dyDescent="0.25">
      <c r="E233" s="13"/>
      <c r="F233" s="152" t="s">
        <v>115</v>
      </c>
      <c r="G233" s="13" t="s">
        <v>114</v>
      </c>
      <c r="H233" s="192" t="s">
        <v>116</v>
      </c>
      <c r="I233" s="126" t="s">
        <v>113</v>
      </c>
      <c r="J233" s="152" t="s">
        <v>117</v>
      </c>
      <c r="K233" s="193" t="s">
        <v>122</v>
      </c>
      <c r="N233" s="126"/>
      <c r="O233" s="126"/>
      <c r="P233" s="13"/>
      <c r="Q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</row>
    <row r="234" spans="1:53" x14ac:dyDescent="0.25">
      <c r="E234" s="13"/>
      <c r="F234" s="13">
        <f>(I229/(20*C223))*100</f>
        <v>16.650000000000002</v>
      </c>
      <c r="G234" s="13">
        <f>G226*I229</f>
        <v>49.95</v>
      </c>
      <c r="H234">
        <f>(104.3421 + (9.456889 - 104.3421)/(1 + (G234/39.91202)^3.274503))/C223</f>
        <v>24.527337835139164</v>
      </c>
      <c r="I234" s="126">
        <f>I229/C224</f>
        <v>4.9950000000000001</v>
      </c>
      <c r="J234" s="13">
        <f>(I234/20)*100</f>
        <v>24.975000000000001</v>
      </c>
      <c r="K234" s="13">
        <f>(0.3*F234)+(0.3*H234)+(0.4*J234)</f>
        <v>22.343201350541751</v>
      </c>
      <c r="N234" s="126"/>
      <c r="O234" s="126"/>
      <c r="P234" s="13"/>
      <c r="Q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</row>
    <row r="235" spans="1:53" x14ac:dyDescent="0.25">
      <c r="E235" s="13"/>
      <c r="F235" s="13" t="s">
        <v>118</v>
      </c>
      <c r="G235" s="13">
        <f>(K232+K234)/2</f>
        <v>25.330595017411966</v>
      </c>
      <c r="I235" s="126"/>
      <c r="J235" s="13"/>
      <c r="K235" s="13"/>
      <c r="N235" s="126"/>
      <c r="O235" s="126"/>
      <c r="P235" s="13"/>
      <c r="Q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</row>
    <row r="236" spans="1:53" x14ac:dyDescent="0.25">
      <c r="E236" s="13"/>
      <c r="F236" s="13"/>
      <c r="G236" s="13"/>
      <c r="H236" s="13"/>
      <c r="I236" s="13"/>
      <c r="L236" s="13"/>
      <c r="M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</row>
    <row r="237" spans="1:53" ht="15.75" thickBot="1" x14ac:dyDescent="0.3">
      <c r="L237" s="13"/>
      <c r="M237" s="13"/>
      <c r="P237" s="13"/>
      <c r="Q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</row>
    <row r="238" spans="1:53" ht="15.75" x14ac:dyDescent="0.25">
      <c r="A238" s="224" t="str">
        <f>References!$F$2</f>
        <v>Name</v>
      </c>
      <c r="B238" s="225"/>
      <c r="C238" s="222" t="s">
        <v>104</v>
      </c>
      <c r="D238" s="223"/>
      <c r="K238" s="126"/>
      <c r="L238" s="13"/>
      <c r="M238" s="13"/>
      <c r="N238" s="126"/>
      <c r="O238" s="126"/>
      <c r="P238" s="13"/>
      <c r="Q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</row>
    <row r="239" spans="1:53" ht="15.75" x14ac:dyDescent="0.25">
      <c r="A239" s="212" t="str">
        <f>References!$F$3</f>
        <v>Class</v>
      </c>
      <c r="B239" s="213"/>
      <c r="C239" s="218" t="str">
        <f>References!$E$5</f>
        <v>Berserker</v>
      </c>
      <c r="D239" s="219"/>
      <c r="K239" s="126"/>
      <c r="L239" s="13"/>
      <c r="M239" s="13"/>
      <c r="N239" s="126"/>
      <c r="O239" s="126"/>
      <c r="P239" s="13"/>
      <c r="Q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</row>
    <row r="240" spans="1:53" ht="15.75" x14ac:dyDescent="0.25">
      <c r="A240" s="212" t="str">
        <f>References!$F$4</f>
        <v>Type</v>
      </c>
      <c r="B240" s="213"/>
      <c r="C240" s="218" t="str">
        <f>References!$B$2</f>
        <v>Offensive</v>
      </c>
      <c r="D240" s="219"/>
      <c r="K240" s="126"/>
      <c r="L240" s="13"/>
      <c r="M240" s="13"/>
      <c r="N240" s="126"/>
      <c r="O240" s="126"/>
      <c r="P240" s="13"/>
      <c r="Q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</row>
    <row r="241" spans="1:53" ht="15.75" x14ac:dyDescent="0.25">
      <c r="A241" s="212" t="str">
        <f>References!$F$5</f>
        <v>Nb. Targets</v>
      </c>
      <c r="B241" s="213"/>
      <c r="C241" s="218">
        <v>1</v>
      </c>
      <c r="D241" s="219"/>
      <c r="K241" s="126"/>
      <c r="L241" s="13"/>
      <c r="M241" s="13"/>
      <c r="N241" s="126"/>
      <c r="O241" s="126"/>
      <c r="P241" s="13"/>
      <c r="Q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</row>
    <row r="242" spans="1:53" ht="16.5" thickBot="1" x14ac:dyDescent="0.3">
      <c r="A242" s="214" t="str">
        <f>References!$F$6</f>
        <v>Energy cost</v>
      </c>
      <c r="B242" s="215"/>
      <c r="C242" s="216">
        <v>3</v>
      </c>
      <c r="D242" s="217"/>
      <c r="K242" s="126"/>
      <c r="L242" s="13"/>
      <c r="M242" s="13"/>
      <c r="N242" s="126"/>
      <c r="O242" s="126"/>
      <c r="P242" s="13"/>
      <c r="Q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</row>
    <row r="243" spans="1:53" ht="15.75" x14ac:dyDescent="0.25">
      <c r="A243" s="212" t="s">
        <v>111</v>
      </c>
      <c r="B243" s="213"/>
      <c r="C243" s="210">
        <v>1</v>
      </c>
      <c r="D243" s="211"/>
      <c r="E243" s="13"/>
      <c r="F243" s="13"/>
      <c r="G243" s="13"/>
      <c r="H243" s="13"/>
      <c r="I243" s="13"/>
      <c r="K243" s="154"/>
      <c r="L243" s="13"/>
      <c r="M243" s="13"/>
      <c r="N243" s="154"/>
      <c r="O243" s="154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</row>
    <row r="244" spans="1:53" ht="16.5" thickBot="1" x14ac:dyDescent="0.3">
      <c r="A244" s="214" t="s">
        <v>110</v>
      </c>
      <c r="B244" s="215"/>
      <c r="C244" s="208">
        <v>0</v>
      </c>
      <c r="D244" s="209"/>
      <c r="E244" s="13"/>
      <c r="F244" s="13"/>
      <c r="G244" s="13"/>
      <c r="H244" s="13"/>
      <c r="I244" s="13"/>
      <c r="K244" s="154"/>
      <c r="L244" s="13"/>
      <c r="M244" s="13"/>
      <c r="N244" s="154"/>
      <c r="O244" s="154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</row>
    <row r="245" spans="1:53" ht="16.5" thickBot="1" x14ac:dyDescent="0.3">
      <c r="A245" s="133" t="str">
        <f>References!$G$2</f>
        <v>Type</v>
      </c>
      <c r="B245" s="135" t="str">
        <f>References!$G$3</f>
        <v>Stat</v>
      </c>
      <c r="C245" s="146" t="str">
        <f>References!$G$7</f>
        <v>Nb</v>
      </c>
      <c r="D245" s="182" t="str">
        <f>References!$G$8</f>
        <v>Turns</v>
      </c>
      <c r="E245" s="152"/>
      <c r="F245" s="152"/>
      <c r="G245" s="155"/>
      <c r="H245" s="155"/>
      <c r="I245" s="13"/>
      <c r="L245" s="13"/>
      <c r="M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</row>
    <row r="246" spans="1:53" ht="16.5" thickBot="1" x14ac:dyDescent="0.3">
      <c r="A246" s="129" t="str">
        <f>References!$C$2</f>
        <v>Direct</v>
      </c>
      <c r="B246" s="139" t="str">
        <f>References!$A$2</f>
        <v>dmg</v>
      </c>
      <c r="C246" s="144">
        <v>8</v>
      </c>
      <c r="D246" s="172"/>
      <c r="E246" s="13"/>
      <c r="F246" s="156"/>
      <c r="G246" s="154"/>
      <c r="H246" s="154"/>
      <c r="I246" s="13"/>
      <c r="L246" s="13"/>
      <c r="M246" s="13"/>
      <c r="P246" s="13"/>
      <c r="Q246" s="13"/>
      <c r="R246" s="156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</row>
    <row r="247" spans="1:53" ht="16.5" thickBot="1" x14ac:dyDescent="0.3">
      <c r="A247" s="129" t="str">
        <f>References!$C$5</f>
        <v>SelfTemp</v>
      </c>
      <c r="B247" s="139" t="str">
        <f>References!$A$5</f>
        <v>def</v>
      </c>
      <c r="C247" s="144">
        <v>-2</v>
      </c>
      <c r="D247" s="185">
        <v>1</v>
      </c>
      <c r="E247" s="13"/>
      <c r="F247" s="13"/>
      <c r="G247" s="154"/>
      <c r="H247" s="154"/>
      <c r="I247" s="13"/>
      <c r="L247" s="13"/>
      <c r="M247" s="13"/>
      <c r="P247" s="13"/>
      <c r="Q247" s="13"/>
      <c r="R247" s="156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</row>
    <row r="248" spans="1:53" ht="16.5" thickBot="1" x14ac:dyDescent="0.3">
      <c r="A248" s="129" t="str">
        <f>References!$C$5</f>
        <v>SelfTemp</v>
      </c>
      <c r="B248" s="139" t="str">
        <f>References!$A$6</f>
        <v>spd</v>
      </c>
      <c r="C248" s="144">
        <v>-2</v>
      </c>
      <c r="D248" s="185">
        <v>1</v>
      </c>
      <c r="E248" s="13"/>
      <c r="F248" s="13"/>
      <c r="G248" s="154"/>
      <c r="H248" s="154"/>
      <c r="I248" s="13"/>
      <c r="L248" s="13"/>
      <c r="M248" s="13"/>
      <c r="P248" s="13"/>
      <c r="Q248" s="13"/>
      <c r="R248" s="156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</row>
    <row r="249" spans="1:53" x14ac:dyDescent="0.25">
      <c r="E249" s="13"/>
      <c r="F249" s="13"/>
      <c r="G249" s="13"/>
      <c r="H249" s="13"/>
      <c r="I249" s="13"/>
      <c r="L249" s="13"/>
      <c r="M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</row>
    <row r="250" spans="1:53" ht="15.75" thickBot="1" x14ac:dyDescent="0.3">
      <c r="K250" s="126"/>
      <c r="L250" s="13"/>
      <c r="M250" s="13"/>
      <c r="N250" s="126"/>
      <c r="O250" s="126"/>
      <c r="P250" s="13"/>
      <c r="Q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</row>
    <row r="251" spans="1:53" ht="15.75" x14ac:dyDescent="0.25">
      <c r="A251" s="224" t="str">
        <f>References!$F$2</f>
        <v>Name</v>
      </c>
      <c r="B251" s="225"/>
      <c r="C251" s="222" t="s">
        <v>95</v>
      </c>
      <c r="D251" s="223"/>
      <c r="K251" s="126"/>
      <c r="L251" s="13"/>
      <c r="M251" s="13"/>
      <c r="N251" s="126"/>
      <c r="O251" s="126"/>
      <c r="P251" s="13"/>
      <c r="Q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</row>
    <row r="252" spans="1:53" ht="15.75" x14ac:dyDescent="0.25">
      <c r="A252" s="212" t="str">
        <f>References!$F$3</f>
        <v>Class</v>
      </c>
      <c r="B252" s="213"/>
      <c r="C252" s="218" t="str">
        <f>References!$D$3</f>
        <v>Scoundrel</v>
      </c>
      <c r="D252" s="219"/>
      <c r="K252" s="126"/>
      <c r="L252" s="13"/>
      <c r="M252" s="13"/>
      <c r="N252" s="126"/>
      <c r="O252" s="126"/>
      <c r="P252" s="13"/>
      <c r="Q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</row>
    <row r="253" spans="1:53" ht="15.75" x14ac:dyDescent="0.25">
      <c r="A253" s="212" t="str">
        <f>References!$F$4</f>
        <v>Type</v>
      </c>
      <c r="B253" s="213"/>
      <c r="C253" s="218" t="str">
        <f>References!$B$2</f>
        <v>Offensive</v>
      </c>
      <c r="D253" s="219"/>
      <c r="K253" s="126"/>
      <c r="L253" s="13"/>
      <c r="M253" s="13"/>
      <c r="N253" s="126"/>
      <c r="O253" s="126"/>
      <c r="P253" s="13"/>
      <c r="Q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</row>
    <row r="254" spans="1:53" ht="15.75" x14ac:dyDescent="0.25">
      <c r="A254" s="212" t="str">
        <f>References!$F$5</f>
        <v>Nb. Targets</v>
      </c>
      <c r="B254" s="213"/>
      <c r="C254" s="218">
        <v>1</v>
      </c>
      <c r="D254" s="219"/>
      <c r="K254" s="126"/>
      <c r="L254" s="13"/>
      <c r="M254" s="13"/>
      <c r="N254" s="126"/>
      <c r="O254" s="126"/>
      <c r="P254" s="13"/>
      <c r="Q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</row>
    <row r="255" spans="1:53" ht="16.5" thickBot="1" x14ac:dyDescent="0.3">
      <c r="A255" s="214" t="str">
        <f>References!$F$6</f>
        <v>Energy cost</v>
      </c>
      <c r="B255" s="215"/>
      <c r="C255" s="216">
        <v>2</v>
      </c>
      <c r="D255" s="217"/>
      <c r="E255" s="154"/>
      <c r="F255" s="156"/>
      <c r="G255" s="156"/>
      <c r="H255" s="156"/>
      <c r="I255" s="13"/>
      <c r="K255" s="154"/>
      <c r="L255" s="13"/>
      <c r="M255" s="13"/>
      <c r="N255" s="154"/>
      <c r="O255" s="154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</row>
    <row r="256" spans="1:53" ht="15.75" x14ac:dyDescent="0.25">
      <c r="A256" s="212" t="s">
        <v>111</v>
      </c>
      <c r="B256" s="213"/>
      <c r="C256" s="210">
        <v>1</v>
      </c>
      <c r="D256" s="211"/>
      <c r="E256" s="13"/>
      <c r="F256" s="13"/>
      <c r="G256" s="13"/>
      <c r="H256" s="13"/>
      <c r="I256" s="13"/>
      <c r="K256" s="154"/>
      <c r="L256" s="13"/>
      <c r="M256" s="13"/>
      <c r="N256" s="154"/>
      <c r="O256" s="154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</row>
    <row r="257" spans="1:53" ht="16.5" thickBot="1" x14ac:dyDescent="0.3">
      <c r="A257" s="214" t="s">
        <v>110</v>
      </c>
      <c r="B257" s="215"/>
      <c r="C257" s="208">
        <v>0</v>
      </c>
      <c r="D257" s="209"/>
      <c r="E257" s="13"/>
      <c r="F257" s="13" t="s">
        <v>121</v>
      </c>
      <c r="G257" s="13">
        <f>_xlfn.FLOOR.MATH(10/IF(OR(C255=1,C255=0),2,C255))</f>
        <v>5</v>
      </c>
      <c r="K257" s="154"/>
      <c r="L257" s="13"/>
      <c r="M257" s="13"/>
      <c r="N257" s="154"/>
      <c r="O257" s="154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</row>
    <row r="258" spans="1:53" ht="16.5" thickBot="1" x14ac:dyDescent="0.3">
      <c r="A258" s="133" t="str">
        <f>References!$G$2</f>
        <v>Type</v>
      </c>
      <c r="B258" s="135" t="str">
        <f>References!$G$3</f>
        <v>Stat</v>
      </c>
      <c r="C258" s="146" t="str">
        <f>References!$G$7</f>
        <v>Nb</v>
      </c>
      <c r="D258" s="147" t="str">
        <f>References!$G$8</f>
        <v>Turns</v>
      </c>
      <c r="E258" s="152"/>
      <c r="F258" s="13" t="s">
        <v>119</v>
      </c>
      <c r="G258" s="176" t="s">
        <v>120</v>
      </c>
      <c r="H258" s="13" t="s">
        <v>123</v>
      </c>
      <c r="I258" s="176" t="s">
        <v>124</v>
      </c>
      <c r="K258" s="155"/>
      <c r="L258" s="13"/>
      <c r="M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</row>
    <row r="259" spans="1:53" ht="16.5" thickBot="1" x14ac:dyDescent="0.3">
      <c r="A259" s="127" t="str">
        <f>References!$C$2</f>
        <v>Direct</v>
      </c>
      <c r="B259" s="143" t="str">
        <f>References!$A$2</f>
        <v>dmg</v>
      </c>
      <c r="C259" s="144">
        <v>2</v>
      </c>
      <c r="D259" s="145"/>
      <c r="E259" s="13"/>
      <c r="F259" s="13">
        <f>(C259+(1*C257))*C254</f>
        <v>2</v>
      </c>
      <c r="G259">
        <f>IF(D259="",F259,F259*D259)</f>
        <v>2</v>
      </c>
      <c r="H259">
        <f>(C259-(1-C257)*1)*C254</f>
        <v>1</v>
      </c>
      <c r="I259">
        <f>IF(D259="",H259,H259*D259)</f>
        <v>1</v>
      </c>
      <c r="K259" s="154"/>
      <c r="L259" s="13"/>
      <c r="M259" s="13"/>
      <c r="P259" s="13"/>
      <c r="Q259" s="13"/>
      <c r="R259" s="156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</row>
    <row r="260" spans="1:53" ht="16.5" thickBot="1" x14ac:dyDescent="0.3">
      <c r="A260" s="129" t="str">
        <f>References!$C$3</f>
        <v>Temp</v>
      </c>
      <c r="B260" s="143" t="str">
        <f>References!$A$2</f>
        <v>dmg</v>
      </c>
      <c r="C260" s="141">
        <v>1</v>
      </c>
      <c r="D260" s="142">
        <v>2</v>
      </c>
      <c r="E260" s="13"/>
      <c r="F260" s="13">
        <f>(C260+(1*C257))*C254</f>
        <v>1</v>
      </c>
      <c r="G260">
        <f>IF(D260="",F260,F260*D260)</f>
        <v>2</v>
      </c>
      <c r="H260">
        <f>(C260-(1-C257)*1)*C254</f>
        <v>0</v>
      </c>
      <c r="I260">
        <f>IF(D260="",H260,H260*D260)</f>
        <v>0</v>
      </c>
      <c r="K260" s="154"/>
      <c r="L260" s="13"/>
      <c r="M260" s="13"/>
      <c r="P260" s="13"/>
      <c r="Q260" s="13"/>
      <c r="R260" s="156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</row>
    <row r="261" spans="1:53" x14ac:dyDescent="0.25">
      <c r="E261" s="13"/>
      <c r="F261" s="13" t="s">
        <v>112</v>
      </c>
      <c r="G261">
        <f>SUM(G259:G260)</f>
        <v>4</v>
      </c>
      <c r="I261" s="13">
        <f>SUM(I259:I260)</f>
        <v>1</v>
      </c>
      <c r="J261" s="13"/>
      <c r="M261" s="13"/>
      <c r="N261" s="13"/>
      <c r="Q261" s="13"/>
      <c r="R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S261" s="13"/>
      <c r="AT261" s="13"/>
      <c r="AU261" s="13"/>
      <c r="AV261" s="13"/>
      <c r="AW261" s="13"/>
      <c r="AX261" s="13"/>
      <c r="AY261" s="13"/>
      <c r="AZ261" s="13"/>
      <c r="BA261" s="13"/>
    </row>
    <row r="262" spans="1:53" x14ac:dyDescent="0.25">
      <c r="E262" s="13"/>
      <c r="F262" s="13"/>
      <c r="G262" s="13"/>
      <c r="H262" s="13"/>
      <c r="I262" s="13"/>
      <c r="K262" s="126"/>
      <c r="L262" s="13"/>
      <c r="M262" s="13"/>
      <c r="N262" s="126"/>
      <c r="O262" s="126"/>
      <c r="P262" s="13"/>
      <c r="Q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</row>
    <row r="263" spans="1:53" x14ac:dyDescent="0.25">
      <c r="E263" s="13"/>
      <c r="F263" s="152" t="s">
        <v>115</v>
      </c>
      <c r="G263" s="13" t="s">
        <v>114</v>
      </c>
      <c r="H263" s="192" t="s">
        <v>116</v>
      </c>
      <c r="I263" s="126" t="s">
        <v>113</v>
      </c>
      <c r="J263" s="152" t="s">
        <v>117</v>
      </c>
      <c r="K263" s="193" t="s">
        <v>122</v>
      </c>
      <c r="L263" s="126"/>
      <c r="O263" s="126"/>
      <c r="P263" s="13"/>
      <c r="Q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</row>
    <row r="264" spans="1:53" x14ac:dyDescent="0.25">
      <c r="E264" s="13"/>
      <c r="F264" s="13">
        <f>(G261/(20*C254))*100</f>
        <v>20</v>
      </c>
      <c r="G264" s="13">
        <f>G261*G257</f>
        <v>20</v>
      </c>
      <c r="H264">
        <f>(104.3421 + (9.456889 - 104.3421)/(1 + (G264/39.91202)^3.274503))/C254</f>
        <v>18.402332953369765</v>
      </c>
      <c r="I264" s="126">
        <f>G261/C255</f>
        <v>2</v>
      </c>
      <c r="J264" s="13">
        <f>(I264/20)*100</f>
        <v>10</v>
      </c>
      <c r="K264" s="13">
        <f>(0.3*F264)+(0.3*H264)+(0.4*J264)</f>
        <v>15.520699886010929</v>
      </c>
      <c r="L264" s="13"/>
      <c r="M264" s="13"/>
      <c r="N264" s="126"/>
      <c r="O264" s="126"/>
      <c r="P264" s="13"/>
      <c r="Q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</row>
    <row r="265" spans="1:53" x14ac:dyDescent="0.25">
      <c r="E265" s="13"/>
      <c r="F265" s="152" t="s">
        <v>115</v>
      </c>
      <c r="G265" s="13" t="s">
        <v>114</v>
      </c>
      <c r="H265" s="192" t="s">
        <v>116</v>
      </c>
      <c r="I265" s="126" t="s">
        <v>113</v>
      </c>
      <c r="J265" s="152" t="s">
        <v>117</v>
      </c>
      <c r="K265" s="193" t="s">
        <v>127</v>
      </c>
      <c r="N265" s="126"/>
      <c r="O265" s="126"/>
      <c r="P265" s="13"/>
      <c r="Q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</row>
    <row r="266" spans="1:53" x14ac:dyDescent="0.25">
      <c r="E266" s="13"/>
      <c r="F266" s="13">
        <f>(I261/(20*C254))*100</f>
        <v>5</v>
      </c>
      <c r="G266" s="13">
        <f>I261*G257</f>
        <v>5</v>
      </c>
      <c r="H266">
        <f>(104.3421 + (9.456889 - 104.3421)/(1 + (G266/39.91202)^3.274503))/C254</f>
        <v>9.5622491790338984</v>
      </c>
      <c r="I266" s="126">
        <f>I261/C255</f>
        <v>0.5</v>
      </c>
      <c r="J266" s="13">
        <f>(I266/20)*100</f>
        <v>2.5</v>
      </c>
      <c r="K266" s="13">
        <f>(0.3*F266)+(0.3*H266)+(0.4*J266)</f>
        <v>5.3686747537101693</v>
      </c>
      <c r="N266" s="126"/>
      <c r="O266" s="126"/>
      <c r="P266" s="13"/>
      <c r="Q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</row>
    <row r="267" spans="1:53" x14ac:dyDescent="0.25">
      <c r="E267" s="13"/>
      <c r="F267" s="152" t="s">
        <v>126</v>
      </c>
      <c r="G267" s="13">
        <f>(C256/5)*100</f>
        <v>20</v>
      </c>
      <c r="I267" s="126"/>
      <c r="J267" s="13"/>
      <c r="K267" s="13"/>
      <c r="N267" s="126"/>
      <c r="O267" s="126"/>
      <c r="P267" s="13"/>
      <c r="Q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</row>
    <row r="268" spans="1:53" x14ac:dyDescent="0.25">
      <c r="E268" s="13"/>
      <c r="F268" s="152" t="s">
        <v>118</v>
      </c>
      <c r="G268" s="13">
        <f>(0.25*K266)+(0.6*K264)+(0.15*G267)</f>
        <v>13.654588620034099</v>
      </c>
      <c r="I268" s="126"/>
      <c r="J268" s="13"/>
      <c r="K268" s="13"/>
      <c r="N268" s="126"/>
      <c r="O268" s="126"/>
      <c r="P268" s="13"/>
      <c r="Q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</row>
    <row r="269" spans="1:53" x14ac:dyDescent="0.25">
      <c r="E269" s="13"/>
      <c r="F269" s="13"/>
      <c r="G269" s="13"/>
      <c r="H269" s="13"/>
      <c r="I269" s="13"/>
      <c r="L269" s="13"/>
      <c r="M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</row>
    <row r="270" spans="1:53" ht="15.75" thickBot="1" x14ac:dyDescent="0.3">
      <c r="K270" s="126"/>
      <c r="L270" s="13"/>
      <c r="M270" s="13"/>
      <c r="N270" s="126"/>
      <c r="O270" s="126"/>
      <c r="P270" s="13"/>
      <c r="Q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</row>
    <row r="271" spans="1:53" ht="15.75" x14ac:dyDescent="0.25">
      <c r="A271" s="224" t="str">
        <f>References!$F$2</f>
        <v>Name</v>
      </c>
      <c r="B271" s="225"/>
      <c r="C271" s="222" t="s">
        <v>125</v>
      </c>
      <c r="D271" s="223"/>
      <c r="K271" s="126"/>
      <c r="L271" s="13"/>
      <c r="M271" s="13"/>
      <c r="N271" s="126"/>
      <c r="O271" s="126"/>
      <c r="P271" s="13"/>
      <c r="Q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</row>
    <row r="272" spans="1:53" ht="15.75" x14ac:dyDescent="0.25">
      <c r="A272" s="212" t="str">
        <f>References!$F$3</f>
        <v>Class</v>
      </c>
      <c r="B272" s="213"/>
      <c r="C272" s="218" t="str">
        <f>References!$D$3</f>
        <v>Scoundrel</v>
      </c>
      <c r="D272" s="219"/>
      <c r="K272" s="126"/>
      <c r="L272" s="13"/>
      <c r="M272" s="13"/>
      <c r="N272" s="126"/>
      <c r="O272" s="126"/>
      <c r="P272" s="13"/>
      <c r="Q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</row>
    <row r="273" spans="1:53" ht="15.75" x14ac:dyDescent="0.25">
      <c r="A273" s="212" t="str">
        <f>References!$F$4</f>
        <v>Type</v>
      </c>
      <c r="B273" s="213"/>
      <c r="C273" s="218" t="str">
        <f>References!$B$2</f>
        <v>Offensive</v>
      </c>
      <c r="D273" s="219"/>
      <c r="K273" s="126"/>
      <c r="L273" s="13"/>
      <c r="M273" s="13"/>
      <c r="N273" s="126"/>
      <c r="O273" s="126"/>
      <c r="P273" s="13"/>
      <c r="Q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</row>
    <row r="274" spans="1:53" ht="15.75" x14ac:dyDescent="0.25">
      <c r="A274" s="212" t="str">
        <f>References!$F$5</f>
        <v>Nb. Targets</v>
      </c>
      <c r="B274" s="213"/>
      <c r="C274" s="218">
        <v>1</v>
      </c>
      <c r="D274" s="219"/>
      <c r="K274" s="126"/>
      <c r="L274" s="13"/>
      <c r="M274" s="13"/>
      <c r="N274" s="126"/>
      <c r="O274" s="126"/>
      <c r="P274" s="13"/>
      <c r="Q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</row>
    <row r="275" spans="1:53" ht="16.5" thickBot="1" x14ac:dyDescent="0.3">
      <c r="A275" s="214" t="str">
        <f>References!$F$6</f>
        <v>Energy cost</v>
      </c>
      <c r="B275" s="215"/>
      <c r="C275" s="216">
        <v>1</v>
      </c>
      <c r="D275" s="217"/>
      <c r="E275" s="154"/>
      <c r="F275" s="156"/>
      <c r="G275" s="156"/>
      <c r="H275" s="156"/>
      <c r="I275" s="13"/>
      <c r="K275" s="154"/>
      <c r="L275" s="13"/>
      <c r="M275" s="13"/>
      <c r="N275" s="154"/>
      <c r="O275" s="154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</row>
    <row r="276" spans="1:53" ht="15.75" x14ac:dyDescent="0.25">
      <c r="A276" s="212" t="s">
        <v>111</v>
      </c>
      <c r="B276" s="213"/>
      <c r="C276" s="210">
        <v>3</v>
      </c>
      <c r="D276" s="211"/>
      <c r="E276" s="154"/>
      <c r="F276" s="156"/>
      <c r="G276" s="156"/>
      <c r="H276" s="156"/>
      <c r="I276" s="13"/>
      <c r="K276" s="154"/>
      <c r="L276" s="13"/>
      <c r="M276" s="13"/>
      <c r="N276" s="154"/>
      <c r="O276" s="154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</row>
    <row r="277" spans="1:53" ht="16.5" thickBot="1" x14ac:dyDescent="0.3">
      <c r="A277" s="214" t="s">
        <v>110</v>
      </c>
      <c r="B277" s="215"/>
      <c r="C277" s="208">
        <v>0</v>
      </c>
      <c r="D277" s="209"/>
      <c r="E277" s="154"/>
      <c r="F277" s="13" t="s">
        <v>121</v>
      </c>
      <c r="G277" s="13">
        <f>_xlfn.FLOOR.MATH(10/IF(OR(C275=1,C275=0),2,C275))</f>
        <v>5</v>
      </c>
      <c r="K277" s="154"/>
      <c r="L277" s="13"/>
      <c r="M277" s="13"/>
      <c r="N277" s="154"/>
      <c r="O277" s="154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</row>
    <row r="278" spans="1:53" ht="16.5" thickBot="1" x14ac:dyDescent="0.3">
      <c r="A278" s="133" t="str">
        <f>References!$G$2</f>
        <v>Type</v>
      </c>
      <c r="B278" s="135" t="str">
        <f>References!$G$3</f>
        <v>Stat</v>
      </c>
      <c r="C278" s="146" t="str">
        <f>References!$G$7</f>
        <v>Nb</v>
      </c>
      <c r="D278" s="147" t="str">
        <f>References!$G$8</f>
        <v>Turns</v>
      </c>
      <c r="E278" s="152"/>
      <c r="F278" s="13" t="s">
        <v>119</v>
      </c>
      <c r="G278" s="176" t="s">
        <v>120</v>
      </c>
      <c r="H278" s="13" t="s">
        <v>123</v>
      </c>
      <c r="I278" s="176" t="s">
        <v>124</v>
      </c>
      <c r="L278" s="13"/>
      <c r="M278" s="13"/>
      <c r="P278" s="13"/>
      <c r="Q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</row>
    <row r="279" spans="1:53" ht="16.5" thickBot="1" x14ac:dyDescent="0.3">
      <c r="A279" s="129" t="str">
        <f>References!$C$2</f>
        <v>Direct</v>
      </c>
      <c r="B279" s="139" t="str">
        <f>References!$A$2</f>
        <v>dmg</v>
      </c>
      <c r="C279" s="144">
        <v>2</v>
      </c>
      <c r="D279" s="145"/>
      <c r="E279" s="13"/>
      <c r="F279" s="13">
        <f>(C279+(1*C277))*C274</f>
        <v>2</v>
      </c>
      <c r="G279">
        <f>IF(D279="",F279,F279*D279)</f>
        <v>2</v>
      </c>
      <c r="H279">
        <f>(C279-(1-C277)*1)*C274</f>
        <v>1</v>
      </c>
      <c r="I279">
        <f>IF(D279="",H279,H279*D279)</f>
        <v>1</v>
      </c>
      <c r="L279" s="13"/>
      <c r="M279" s="13"/>
      <c r="P279" s="13"/>
      <c r="Q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</row>
    <row r="280" spans="1:53" x14ac:dyDescent="0.25">
      <c r="E280" s="13"/>
      <c r="F280" s="13" t="s">
        <v>112</v>
      </c>
      <c r="G280">
        <f>SUM(G279)</f>
        <v>2</v>
      </c>
      <c r="I280" s="13">
        <f>SUM(I279)</f>
        <v>1</v>
      </c>
      <c r="J280" s="13"/>
      <c r="M280" s="13"/>
      <c r="N280" s="13"/>
      <c r="Q280" s="13"/>
      <c r="R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S280" s="13"/>
      <c r="AT280" s="13"/>
      <c r="AU280" s="13"/>
      <c r="AV280" s="13"/>
      <c r="AW280" s="13"/>
      <c r="AX280" s="13"/>
      <c r="AY280" s="13"/>
      <c r="AZ280" s="13"/>
      <c r="BA280" s="13"/>
    </row>
    <row r="281" spans="1:53" x14ac:dyDescent="0.25">
      <c r="E281" s="13"/>
      <c r="F281" s="13"/>
      <c r="G281" s="13"/>
      <c r="H281" s="13"/>
      <c r="I281" s="13"/>
      <c r="K281" s="126"/>
      <c r="L281" s="13"/>
      <c r="M281" s="13"/>
      <c r="N281" s="126"/>
      <c r="O281" s="126"/>
      <c r="P281" s="13"/>
      <c r="Q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</row>
    <row r="282" spans="1:53" x14ac:dyDescent="0.25">
      <c r="E282" s="13"/>
      <c r="F282" s="152" t="s">
        <v>115</v>
      </c>
      <c r="G282" s="13" t="s">
        <v>114</v>
      </c>
      <c r="H282" s="192" t="s">
        <v>116</v>
      </c>
      <c r="I282" s="126" t="s">
        <v>113</v>
      </c>
      <c r="J282" s="152" t="s">
        <v>117</v>
      </c>
      <c r="K282" s="193" t="s">
        <v>122</v>
      </c>
      <c r="L282" s="126"/>
      <c r="O282" s="126"/>
      <c r="P282" s="13"/>
      <c r="Q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</row>
    <row r="283" spans="1:53" x14ac:dyDescent="0.25">
      <c r="E283" s="13"/>
      <c r="F283" s="13"/>
      <c r="G283" s="13"/>
      <c r="H283" s="13"/>
      <c r="I283" s="13"/>
      <c r="K283" s="126"/>
      <c r="L283" s="13"/>
      <c r="M283" s="13"/>
      <c r="N283" s="126"/>
      <c r="O283" s="126"/>
      <c r="P283" s="13"/>
      <c r="Q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</row>
    <row r="284" spans="1:53" x14ac:dyDescent="0.25">
      <c r="E284" s="13"/>
      <c r="F284" s="13">
        <f>(G280/(20*C274))*100</f>
        <v>10</v>
      </c>
      <c r="G284" s="13">
        <f>G280*G277</f>
        <v>10</v>
      </c>
      <c r="H284">
        <f>(104.3421 + (9.456889 - 104.3421)/(1 + (G284/39.91202)^3.274503))/C274</f>
        <v>10.466690352821189</v>
      </c>
      <c r="I284" s="126">
        <f>G280/C275</f>
        <v>2</v>
      </c>
      <c r="J284" s="13">
        <f>(I284/20)*100</f>
        <v>10</v>
      </c>
      <c r="K284" s="13">
        <f>(0.3*F284)+(0.3*H284)+(0.4*J284)</f>
        <v>10.140007105846356</v>
      </c>
      <c r="N284" s="126"/>
      <c r="O284" s="126"/>
      <c r="P284" s="13"/>
      <c r="Q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</row>
    <row r="285" spans="1:53" x14ac:dyDescent="0.25">
      <c r="E285" s="13"/>
      <c r="F285" s="152" t="s">
        <v>115</v>
      </c>
      <c r="G285" s="13" t="s">
        <v>114</v>
      </c>
      <c r="H285" s="192" t="s">
        <v>116</v>
      </c>
      <c r="I285" s="126" t="s">
        <v>113</v>
      </c>
      <c r="J285" s="152" t="s">
        <v>117</v>
      </c>
      <c r="K285" s="193" t="s">
        <v>122</v>
      </c>
      <c r="N285" s="126"/>
      <c r="O285" s="126"/>
      <c r="P285" s="13"/>
      <c r="Q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</row>
    <row r="286" spans="1:53" x14ac:dyDescent="0.25">
      <c r="E286" s="13"/>
      <c r="F286" s="13"/>
      <c r="G286" s="13"/>
      <c r="H286" s="13"/>
      <c r="I286" s="13"/>
      <c r="K286" s="126"/>
      <c r="N286" s="126"/>
      <c r="O286" s="126"/>
      <c r="P286" s="13"/>
      <c r="Q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</row>
    <row r="287" spans="1:53" x14ac:dyDescent="0.25">
      <c r="E287" s="13"/>
      <c r="F287" s="13">
        <f>(I280/(20*C274))*100</f>
        <v>5</v>
      </c>
      <c r="G287" s="13">
        <f>G277*I280</f>
        <v>5</v>
      </c>
      <c r="H287">
        <f>(104.3421 + (9.456889 - 104.3421)/(1 + (G287/39.91202)^3.274503))/C274</f>
        <v>9.5622491790338984</v>
      </c>
      <c r="I287" s="126">
        <f>I280/C275</f>
        <v>1</v>
      </c>
      <c r="J287" s="13">
        <f>(I287/20)*100</f>
        <v>5</v>
      </c>
      <c r="K287" s="13">
        <f>(0.3*F287)+(0.3*H287)+(0.4*J287)</f>
        <v>6.3686747537101693</v>
      </c>
      <c r="N287" s="126"/>
      <c r="O287" s="126"/>
      <c r="P287" s="13"/>
      <c r="Q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</row>
    <row r="288" spans="1:53" x14ac:dyDescent="0.25">
      <c r="E288" s="13"/>
      <c r="F288" s="13" t="s">
        <v>118</v>
      </c>
      <c r="G288" s="13">
        <f>(0.25*K287)+(0.5*K284)+(0.25*((C276/10)*100))</f>
        <v>14.162172241350721</v>
      </c>
      <c r="I288" s="126"/>
      <c r="J288" s="13"/>
      <c r="K288" s="13"/>
      <c r="N288" s="126"/>
      <c r="O288" s="126"/>
      <c r="P288" s="13"/>
      <c r="Q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</row>
    <row r="289" spans="1:53" x14ac:dyDescent="0.25">
      <c r="L289" s="13"/>
      <c r="M289" s="13"/>
      <c r="P289" s="13"/>
      <c r="Q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</row>
    <row r="290" spans="1:53" ht="15.75" thickBot="1" x14ac:dyDescent="0.3">
      <c r="K290" s="126"/>
      <c r="L290" s="13"/>
      <c r="M290" s="13"/>
      <c r="N290" s="126"/>
      <c r="O290" s="126"/>
      <c r="P290" s="13"/>
      <c r="Q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</row>
    <row r="291" spans="1:53" ht="15.75" x14ac:dyDescent="0.25">
      <c r="A291" s="224" t="str">
        <f>References!$F$2</f>
        <v>Name</v>
      </c>
      <c r="B291" s="225"/>
      <c r="C291" s="222" t="s">
        <v>92</v>
      </c>
      <c r="D291" s="223"/>
      <c r="K291" s="126"/>
      <c r="L291" s="13"/>
      <c r="M291" s="13"/>
      <c r="N291" s="126"/>
      <c r="O291" s="126"/>
      <c r="P291" s="13"/>
      <c r="Q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</row>
    <row r="292" spans="1:53" ht="15.75" x14ac:dyDescent="0.25">
      <c r="A292" s="212" t="str">
        <f>References!$F$3</f>
        <v>Class</v>
      </c>
      <c r="B292" s="213"/>
      <c r="C292" s="218" t="e">
        <f>References!#REF!</f>
        <v>#REF!</v>
      </c>
      <c r="D292" s="219"/>
      <c r="K292" s="126"/>
      <c r="L292" s="13"/>
      <c r="M292" s="13"/>
      <c r="N292" s="126"/>
      <c r="O292" s="126"/>
      <c r="P292" s="13"/>
      <c r="Q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</row>
    <row r="293" spans="1:53" ht="15.75" x14ac:dyDescent="0.25">
      <c r="A293" s="212" t="str">
        <f>References!$F$4</f>
        <v>Type</v>
      </c>
      <c r="B293" s="213"/>
      <c r="C293" s="218" t="str">
        <f>References!$B$3</f>
        <v>Defensive</v>
      </c>
      <c r="D293" s="219"/>
      <c r="K293" s="126"/>
      <c r="L293" s="13"/>
      <c r="M293" s="13"/>
      <c r="N293" s="126"/>
      <c r="O293" s="126"/>
      <c r="P293" s="13"/>
      <c r="Q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</row>
    <row r="294" spans="1:53" ht="15.75" x14ac:dyDescent="0.25">
      <c r="A294" s="212" t="str">
        <f>References!$F$5</f>
        <v>Nb. Targets</v>
      </c>
      <c r="B294" s="213"/>
      <c r="C294" s="218">
        <v>1</v>
      </c>
      <c r="D294" s="219"/>
      <c r="K294" s="126"/>
      <c r="L294" s="13"/>
      <c r="M294" s="13"/>
      <c r="N294" s="126"/>
      <c r="O294" s="126"/>
      <c r="P294" s="13"/>
      <c r="Q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</row>
    <row r="295" spans="1:53" ht="16.5" thickBot="1" x14ac:dyDescent="0.3">
      <c r="A295" s="214" t="str">
        <f>References!$F$6</f>
        <v>Energy cost</v>
      </c>
      <c r="B295" s="215"/>
      <c r="C295" s="216">
        <v>2</v>
      </c>
      <c r="D295" s="217"/>
      <c r="E295" s="154"/>
      <c r="F295" s="156"/>
      <c r="G295" s="156"/>
      <c r="H295" s="156"/>
      <c r="I295" s="13"/>
      <c r="K295" s="154"/>
      <c r="L295" s="13"/>
      <c r="M295" s="13"/>
      <c r="N295" s="154"/>
      <c r="O295" s="154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</row>
    <row r="296" spans="1:53" ht="15.75" x14ac:dyDescent="0.25">
      <c r="A296" s="212" t="s">
        <v>111</v>
      </c>
      <c r="B296" s="213"/>
      <c r="C296" s="210">
        <v>1</v>
      </c>
      <c r="D296" s="211"/>
      <c r="E296" s="13"/>
      <c r="F296" s="13"/>
      <c r="G296" s="13"/>
      <c r="H296" s="13"/>
      <c r="I296" s="13"/>
      <c r="K296" s="154"/>
      <c r="L296" s="13"/>
      <c r="M296" s="13"/>
      <c r="N296" s="154"/>
      <c r="O296" s="154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</row>
    <row r="297" spans="1:53" ht="16.5" thickBot="1" x14ac:dyDescent="0.3">
      <c r="A297" s="214" t="s">
        <v>110</v>
      </c>
      <c r="B297" s="215"/>
      <c r="C297" s="208">
        <v>0.5</v>
      </c>
      <c r="D297" s="230"/>
      <c r="E297" s="13"/>
      <c r="F297" s="13" t="s">
        <v>121</v>
      </c>
      <c r="G297" s="13">
        <f>_xlfn.FLOOR.MATH(10/IF(OR(C295=1,C295=0),2,C295))</f>
        <v>5</v>
      </c>
      <c r="K297" s="154"/>
      <c r="L297" s="13"/>
      <c r="M297" s="13"/>
      <c r="N297" s="154"/>
      <c r="O297" s="154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</row>
    <row r="298" spans="1:53" ht="16.5" thickBot="1" x14ac:dyDescent="0.3">
      <c r="A298" s="133" t="str">
        <f>References!$G$2</f>
        <v>Type</v>
      </c>
      <c r="B298" s="135" t="str">
        <f>References!$G$3</f>
        <v>Stat</v>
      </c>
      <c r="C298" s="146" t="str">
        <f>References!$G$7</f>
        <v>Nb</v>
      </c>
      <c r="D298" s="147" t="str">
        <f>References!$G$8</f>
        <v>Turns</v>
      </c>
      <c r="E298" s="152"/>
      <c r="F298" s="13" t="s">
        <v>119</v>
      </c>
      <c r="G298" s="176" t="s">
        <v>120</v>
      </c>
      <c r="H298" s="13" t="s">
        <v>123</v>
      </c>
      <c r="I298" s="176" t="s">
        <v>124</v>
      </c>
      <c r="L298" s="13"/>
      <c r="M298" s="13"/>
      <c r="P298" s="13"/>
      <c r="Q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</row>
    <row r="299" spans="1:53" ht="16.5" thickBot="1" x14ac:dyDescent="0.3">
      <c r="A299" s="127" t="str">
        <f>References!$C$2</f>
        <v>Direct</v>
      </c>
      <c r="B299" s="143" t="str">
        <f>References!$A$3</f>
        <v>hp</v>
      </c>
      <c r="C299" s="144">
        <v>2</v>
      </c>
      <c r="D299" s="145"/>
      <c r="E299" s="13"/>
      <c r="F299" s="13">
        <f>(C299+(1*C297))*C294</f>
        <v>2.5</v>
      </c>
      <c r="G299">
        <f>IF(D299="",F299,F299*D299)</f>
        <v>2.5</v>
      </c>
      <c r="H299">
        <f>(C299-(1-C297)*1)*C294</f>
        <v>1.5</v>
      </c>
      <c r="I299">
        <f>IF(D299="",H299,H299*D299)</f>
        <v>1.5</v>
      </c>
      <c r="L299" s="13"/>
      <c r="M299" s="13"/>
      <c r="P299" s="13"/>
      <c r="Q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</row>
    <row r="300" spans="1:53" ht="16.5" thickBot="1" x14ac:dyDescent="0.3">
      <c r="A300" s="129" t="str">
        <f>References!$C$3</f>
        <v>Temp</v>
      </c>
      <c r="B300" s="143" t="str">
        <f>References!$A$3</f>
        <v>hp</v>
      </c>
      <c r="C300" s="141">
        <v>2</v>
      </c>
      <c r="D300" s="142">
        <v>1</v>
      </c>
      <c r="E300" s="13"/>
      <c r="F300" s="13">
        <f>(C300+(1*C297))*C294</f>
        <v>2.5</v>
      </c>
      <c r="G300">
        <f>IF(D300="",F300,F300*D300)</f>
        <v>2.5</v>
      </c>
      <c r="H300">
        <f>(C300-(1-C297)*1)*C294</f>
        <v>1.5</v>
      </c>
      <c r="I300">
        <f>IF(D300="",H300,H300*D300)</f>
        <v>1.5</v>
      </c>
      <c r="L300" s="13"/>
      <c r="M300" s="13"/>
      <c r="P300" s="13"/>
      <c r="Q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</row>
    <row r="301" spans="1:53" x14ac:dyDescent="0.25">
      <c r="E301" s="13"/>
      <c r="F301" s="13" t="s">
        <v>112</v>
      </c>
      <c r="G301">
        <f>SUM(G299:G300)</f>
        <v>5</v>
      </c>
      <c r="I301" s="13">
        <f>SUM(I299:I300)</f>
        <v>3</v>
      </c>
      <c r="J301" s="13"/>
      <c r="M301" s="13"/>
      <c r="N301" s="13"/>
      <c r="Q301" s="13"/>
      <c r="R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S301" s="13"/>
      <c r="AT301" s="13"/>
      <c r="AU301" s="13"/>
      <c r="AV301" s="13"/>
      <c r="AW301" s="13"/>
      <c r="AX301" s="13"/>
      <c r="AY301" s="13"/>
      <c r="AZ301" s="13"/>
      <c r="BA301" s="13"/>
    </row>
    <row r="302" spans="1:53" x14ac:dyDescent="0.25">
      <c r="E302" s="13"/>
      <c r="F302" s="13"/>
      <c r="G302" s="13"/>
      <c r="H302" s="13"/>
      <c r="I302" s="13"/>
      <c r="K302" s="126"/>
      <c r="L302" s="13"/>
      <c r="M302" s="13"/>
      <c r="N302" s="126"/>
      <c r="O302" s="126"/>
      <c r="P302" s="13"/>
      <c r="Q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</row>
    <row r="303" spans="1:53" x14ac:dyDescent="0.25">
      <c r="E303" s="13"/>
      <c r="F303" s="152" t="s">
        <v>115</v>
      </c>
      <c r="G303" s="13" t="s">
        <v>114</v>
      </c>
      <c r="H303" s="192" t="s">
        <v>116</v>
      </c>
      <c r="I303" s="126" t="s">
        <v>113</v>
      </c>
      <c r="J303" s="152" t="s">
        <v>117</v>
      </c>
      <c r="K303" s="193" t="s">
        <v>122</v>
      </c>
      <c r="L303" s="126"/>
      <c r="O303" s="126"/>
      <c r="P303" s="13"/>
      <c r="Q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</row>
    <row r="304" spans="1:53" x14ac:dyDescent="0.25">
      <c r="E304" s="13"/>
      <c r="F304" s="13">
        <f>(G301/(20*C294))*100</f>
        <v>25</v>
      </c>
      <c r="G304" s="13">
        <f>G301*G297</f>
        <v>25</v>
      </c>
      <c r="H304">
        <f>(104.3421 + (9.456889 - 104.3421)/(1 + (G304/39.91202)^3.274503))/C294</f>
        <v>26.320631925290471</v>
      </c>
      <c r="I304" s="126">
        <f>G301/C295</f>
        <v>2.5</v>
      </c>
      <c r="J304" s="13">
        <f>(I304/20)*100</f>
        <v>12.5</v>
      </c>
      <c r="K304" s="13">
        <f>(0.3*F304)+(0.3*H304)+(0.4*J304)</f>
        <v>20.39618957758714</v>
      </c>
      <c r="L304" s="13"/>
      <c r="M304" s="13"/>
      <c r="N304" s="126"/>
      <c r="O304" s="126"/>
      <c r="P304" s="13"/>
      <c r="Q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</row>
    <row r="305" spans="1:53" x14ac:dyDescent="0.25">
      <c r="E305" s="13"/>
      <c r="F305" s="152" t="s">
        <v>115</v>
      </c>
      <c r="G305" s="13" t="s">
        <v>114</v>
      </c>
      <c r="H305" s="192" t="s">
        <v>116</v>
      </c>
      <c r="I305" s="126" t="s">
        <v>113</v>
      </c>
      <c r="J305" s="152" t="s">
        <v>117</v>
      </c>
      <c r="K305" s="193" t="s">
        <v>127</v>
      </c>
      <c r="N305" s="126"/>
      <c r="O305" s="126"/>
      <c r="P305" s="13"/>
      <c r="Q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</row>
    <row r="306" spans="1:53" x14ac:dyDescent="0.25">
      <c r="E306" s="13"/>
      <c r="F306" s="13">
        <f>(I301/(20*C294))*100</f>
        <v>15</v>
      </c>
      <c r="G306" s="13">
        <f>I301*G297</f>
        <v>15</v>
      </c>
      <c r="H306">
        <f>(104.3421 + (9.456889 - 104.3421)/(1 + (G306/39.91202)^3.274503))/C294</f>
        <v>13.157037540933331</v>
      </c>
      <c r="I306" s="126">
        <f>I301/C295</f>
        <v>1.5</v>
      </c>
      <c r="J306" s="13">
        <f>(I306/20)*100</f>
        <v>7.5</v>
      </c>
      <c r="K306" s="13">
        <f>(0.3*F306)+(0.3*H306)+(0.4*J306)</f>
        <v>11.44711126228</v>
      </c>
      <c r="N306" s="126"/>
      <c r="O306" s="126"/>
      <c r="P306" s="13"/>
      <c r="Q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</row>
    <row r="307" spans="1:53" x14ac:dyDescent="0.25">
      <c r="E307" s="13"/>
      <c r="F307" s="152" t="s">
        <v>126</v>
      </c>
      <c r="G307" s="13">
        <f>(C296/5)*100</f>
        <v>20</v>
      </c>
      <c r="I307" s="126"/>
      <c r="J307" s="13"/>
      <c r="K307" s="13"/>
      <c r="N307" s="126"/>
      <c r="O307" s="126"/>
      <c r="P307" s="13"/>
      <c r="Q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</row>
    <row r="308" spans="1:53" x14ac:dyDescent="0.25">
      <c r="E308" s="13"/>
      <c r="F308" s="152" t="s">
        <v>118</v>
      </c>
      <c r="G308" s="13">
        <f>(0.25*K306)+(0.6*K304)+(0.15*G307)</f>
        <v>18.099491562122285</v>
      </c>
      <c r="I308" s="126"/>
      <c r="J308" s="13"/>
      <c r="K308" s="13"/>
      <c r="N308" s="126"/>
      <c r="O308" s="126"/>
      <c r="P308" s="13"/>
      <c r="Q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</row>
    <row r="309" spans="1:53" x14ac:dyDescent="0.25">
      <c r="E309" s="13"/>
      <c r="F309" s="13"/>
      <c r="G309" s="13"/>
      <c r="H309" s="13"/>
      <c r="I309" s="13"/>
      <c r="L309" s="13"/>
      <c r="M309" s="13"/>
      <c r="P309" s="13"/>
      <c r="Q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</row>
    <row r="310" spans="1:53" ht="15.75" thickBot="1" x14ac:dyDescent="0.3">
      <c r="K310" s="126"/>
      <c r="L310" s="13"/>
      <c r="M310" s="13"/>
      <c r="N310" s="126"/>
      <c r="O310" s="126"/>
      <c r="P310" s="13"/>
      <c r="Q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</row>
    <row r="311" spans="1:53" ht="15.75" x14ac:dyDescent="0.25">
      <c r="A311" s="224" t="str">
        <f>References!$F$2</f>
        <v>Name</v>
      </c>
      <c r="B311" s="225"/>
      <c r="C311" s="222" t="s">
        <v>16</v>
      </c>
      <c r="D311" s="223"/>
      <c r="K311" s="126"/>
      <c r="L311" s="13"/>
      <c r="M311" s="13"/>
      <c r="N311" s="126"/>
      <c r="O311" s="126"/>
      <c r="P311" s="13"/>
      <c r="Q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</row>
    <row r="312" spans="1:53" ht="15.75" x14ac:dyDescent="0.25">
      <c r="A312" s="212" t="str">
        <f>References!$F$3</f>
        <v>Class</v>
      </c>
      <c r="B312" s="213"/>
      <c r="C312" s="218" t="str">
        <f>References!$E$7</f>
        <v>Assassin</v>
      </c>
      <c r="D312" s="219"/>
      <c r="K312" s="126"/>
      <c r="L312" s="13"/>
      <c r="M312" s="13"/>
      <c r="N312" s="126"/>
      <c r="O312" s="126"/>
      <c r="P312" s="13"/>
      <c r="Q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</row>
    <row r="313" spans="1:53" ht="15.75" x14ac:dyDescent="0.25">
      <c r="A313" s="212" t="str">
        <f>References!$F$4</f>
        <v>Type</v>
      </c>
      <c r="B313" s="213"/>
      <c r="C313" s="218" t="str">
        <f>References!$B$4</f>
        <v>Passive</v>
      </c>
      <c r="D313" s="219"/>
      <c r="K313" s="126"/>
      <c r="L313" s="13"/>
      <c r="M313" s="13"/>
      <c r="N313" s="126"/>
      <c r="O313" s="126"/>
      <c r="P313" s="13"/>
      <c r="Q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</row>
    <row r="314" spans="1:53" ht="15.75" x14ac:dyDescent="0.25">
      <c r="A314" s="212" t="str">
        <f>References!$F$5</f>
        <v>Nb. Targets</v>
      </c>
      <c r="B314" s="213"/>
      <c r="C314" s="229"/>
      <c r="D314" s="234"/>
      <c r="K314" s="126"/>
      <c r="L314" s="13"/>
      <c r="M314" s="13"/>
      <c r="N314" s="126"/>
      <c r="O314" s="126"/>
      <c r="P314" s="13"/>
      <c r="Q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</row>
    <row r="315" spans="1:53" ht="16.5" thickBot="1" x14ac:dyDescent="0.3">
      <c r="A315" s="214" t="str">
        <f>References!$F$6</f>
        <v>Energy cost</v>
      </c>
      <c r="B315" s="215"/>
      <c r="C315" s="232"/>
      <c r="D315" s="233"/>
      <c r="E315" s="154"/>
      <c r="F315" s="156"/>
      <c r="G315" s="156"/>
      <c r="H315" s="156"/>
      <c r="I315" s="13"/>
      <c r="K315" s="154"/>
      <c r="L315" s="13"/>
      <c r="M315" s="13"/>
      <c r="N315" s="154"/>
      <c r="O315" s="154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</row>
    <row r="316" spans="1:53" ht="15.75" x14ac:dyDescent="0.25">
      <c r="A316" s="212" t="s">
        <v>111</v>
      </c>
      <c r="B316" s="213"/>
      <c r="C316" s="210">
        <v>3</v>
      </c>
      <c r="D316" s="211"/>
      <c r="E316" s="154"/>
      <c r="F316" s="156"/>
      <c r="G316" s="156"/>
      <c r="H316" s="156"/>
      <c r="I316" s="13"/>
      <c r="K316" s="154"/>
      <c r="L316" s="13"/>
      <c r="M316" s="13"/>
      <c r="N316" s="154"/>
      <c r="O316" s="154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</row>
    <row r="317" spans="1:53" ht="16.5" thickBot="1" x14ac:dyDescent="0.3">
      <c r="A317" s="214" t="s">
        <v>110</v>
      </c>
      <c r="B317" s="215"/>
      <c r="C317" s="208">
        <v>0</v>
      </c>
      <c r="D317" s="230"/>
      <c r="E317" s="154"/>
      <c r="F317" s="156"/>
      <c r="G317" s="156"/>
      <c r="H317" s="156"/>
      <c r="I317" s="13"/>
      <c r="K317" s="154"/>
      <c r="L317" s="13"/>
      <c r="M317" s="13"/>
      <c r="N317" s="154"/>
      <c r="O317" s="154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</row>
    <row r="318" spans="1:53" ht="16.5" thickBot="1" x14ac:dyDescent="0.3">
      <c r="A318" s="133" t="str">
        <f>References!$G$2</f>
        <v>Type</v>
      </c>
      <c r="B318" s="135" t="str">
        <f>References!$G$3</f>
        <v>Stat</v>
      </c>
      <c r="C318" s="146" t="str">
        <f>References!$G$7</f>
        <v>Nb</v>
      </c>
      <c r="D318" s="147" t="str">
        <f>References!$G$8</f>
        <v>Turns</v>
      </c>
      <c r="E318" s="152"/>
      <c r="F318" s="152"/>
      <c r="G318" s="155"/>
      <c r="H318" s="155"/>
      <c r="I318" s="13"/>
      <c r="L318" s="13"/>
      <c r="M318" s="13"/>
      <c r="P318" s="13"/>
      <c r="Q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</row>
    <row r="319" spans="1:53" ht="16.5" thickBot="1" x14ac:dyDescent="0.3">
      <c r="A319" s="170"/>
      <c r="B319" s="145"/>
      <c r="C319" s="170"/>
      <c r="D319" s="145"/>
      <c r="E319" s="156"/>
      <c r="F319" s="156"/>
      <c r="G319" s="156"/>
      <c r="H319" s="156"/>
      <c r="I319" s="13"/>
      <c r="L319" s="13"/>
      <c r="M319" s="13"/>
      <c r="P319" s="13"/>
      <c r="Q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</row>
    <row r="320" spans="1:53" x14ac:dyDescent="0.25">
      <c r="L320" s="13"/>
      <c r="M320" s="13"/>
      <c r="P320" s="13"/>
      <c r="Q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</row>
    <row r="321" spans="1:53" ht="15.75" thickBot="1" x14ac:dyDescent="0.3">
      <c r="K321" s="126"/>
      <c r="L321" s="13"/>
      <c r="M321" s="13"/>
      <c r="N321" s="126"/>
      <c r="O321" s="126"/>
      <c r="P321" s="13"/>
      <c r="Q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</row>
    <row r="322" spans="1:53" ht="15.75" x14ac:dyDescent="0.25">
      <c r="A322" s="224" t="str">
        <f>References!$F$2</f>
        <v>Name</v>
      </c>
      <c r="B322" s="225"/>
      <c r="C322" s="222" t="s">
        <v>94</v>
      </c>
      <c r="D322" s="223"/>
      <c r="K322" s="126"/>
      <c r="L322" s="13"/>
      <c r="M322" s="13"/>
      <c r="N322" s="126"/>
      <c r="O322" s="126"/>
      <c r="P322" s="13"/>
      <c r="Q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</row>
    <row r="323" spans="1:53" ht="15.75" x14ac:dyDescent="0.25">
      <c r="A323" s="212" t="str">
        <f>References!$F$3</f>
        <v>Class</v>
      </c>
      <c r="B323" s="213"/>
      <c r="C323" s="218" t="str">
        <f>References!$E$8</f>
        <v>Necromancer</v>
      </c>
      <c r="D323" s="219"/>
      <c r="K323" s="126"/>
      <c r="L323" s="13"/>
      <c r="M323" s="13"/>
      <c r="N323" s="126"/>
      <c r="O323" s="126"/>
      <c r="P323" s="13"/>
      <c r="Q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</row>
    <row r="324" spans="1:53" ht="15.75" x14ac:dyDescent="0.25">
      <c r="A324" s="212" t="str">
        <f>References!$F$4</f>
        <v>Type</v>
      </c>
      <c r="B324" s="213"/>
      <c r="C324" s="218" t="str">
        <f>References!$B$3</f>
        <v>Defensive</v>
      </c>
      <c r="D324" s="219"/>
      <c r="K324" s="126"/>
      <c r="L324" s="13"/>
      <c r="M324" s="13"/>
      <c r="N324" s="126"/>
      <c r="O324" s="126"/>
      <c r="P324" s="13"/>
      <c r="Q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</row>
    <row r="325" spans="1:53" ht="15.75" x14ac:dyDescent="0.25">
      <c r="A325" s="212" t="str">
        <f>References!$F$5</f>
        <v>Nb. Targets</v>
      </c>
      <c r="B325" s="213"/>
      <c r="C325" s="229"/>
      <c r="D325" s="234"/>
      <c r="K325" s="126"/>
      <c r="L325" s="13"/>
      <c r="M325" s="13"/>
      <c r="N325" s="126"/>
      <c r="O325" s="126"/>
      <c r="P325" s="13"/>
      <c r="Q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</row>
    <row r="326" spans="1:53" ht="16.5" thickBot="1" x14ac:dyDescent="0.3">
      <c r="A326" s="214" t="str">
        <f>References!$F$6</f>
        <v>Energy cost</v>
      </c>
      <c r="B326" s="215"/>
      <c r="C326" s="216">
        <v>2</v>
      </c>
      <c r="D326" s="217"/>
      <c r="E326" s="154"/>
      <c r="F326" s="156"/>
      <c r="G326" s="156"/>
      <c r="H326" s="156"/>
      <c r="I326" s="13"/>
      <c r="K326" s="154"/>
      <c r="L326" s="13"/>
      <c r="M326" s="13"/>
      <c r="N326" s="154"/>
      <c r="O326" s="154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</row>
    <row r="327" spans="1:53" ht="15.75" x14ac:dyDescent="0.25">
      <c r="A327" s="212" t="s">
        <v>111</v>
      </c>
      <c r="B327" s="213"/>
      <c r="C327" s="210">
        <v>1</v>
      </c>
      <c r="D327" s="211"/>
      <c r="E327" s="154"/>
      <c r="F327" s="156"/>
      <c r="G327" s="156"/>
      <c r="H327" s="156"/>
      <c r="I327" s="13"/>
      <c r="K327" s="154"/>
      <c r="L327" s="13"/>
      <c r="M327" s="13"/>
      <c r="N327" s="154"/>
      <c r="O327" s="154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</row>
    <row r="328" spans="1:53" ht="16.5" thickBot="1" x14ac:dyDescent="0.3">
      <c r="A328" s="214" t="s">
        <v>110</v>
      </c>
      <c r="B328" s="215"/>
      <c r="C328" s="208">
        <v>0</v>
      </c>
      <c r="D328" s="230"/>
      <c r="E328" s="154"/>
      <c r="F328" s="156"/>
      <c r="G328" s="156"/>
      <c r="H328" s="156"/>
      <c r="I328" s="13"/>
      <c r="K328" s="154"/>
      <c r="L328" s="13"/>
      <c r="M328" s="13"/>
      <c r="N328" s="154"/>
      <c r="O328" s="154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</row>
    <row r="329" spans="1:53" ht="16.5" thickBot="1" x14ac:dyDescent="0.3">
      <c r="A329" s="133" t="str">
        <f>References!$G$2</f>
        <v>Type</v>
      </c>
      <c r="B329" s="135" t="str">
        <f>References!$G$3</f>
        <v>Stat</v>
      </c>
      <c r="C329" s="146" t="str">
        <f>References!$G$7</f>
        <v>Nb</v>
      </c>
      <c r="D329" s="147" t="str">
        <f>References!$G$8</f>
        <v>Turns</v>
      </c>
      <c r="E329" s="152"/>
      <c r="F329" s="152"/>
      <c r="G329" s="155"/>
      <c r="H329" s="155"/>
      <c r="I329" s="13"/>
      <c r="L329" s="13"/>
      <c r="M329" s="13"/>
      <c r="P329" s="13"/>
      <c r="Q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</row>
    <row r="330" spans="1:53" ht="16.5" thickBot="1" x14ac:dyDescent="0.3">
      <c r="A330" s="170"/>
      <c r="B330" s="145"/>
      <c r="C330" s="170"/>
      <c r="D330" s="145"/>
      <c r="E330" s="156"/>
      <c r="F330" s="156"/>
      <c r="G330" s="156"/>
      <c r="H330" s="156"/>
      <c r="I330" s="13"/>
      <c r="L330" s="13"/>
      <c r="M330" s="13"/>
      <c r="P330" s="13"/>
      <c r="Q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</row>
    <row r="331" spans="1:53" x14ac:dyDescent="0.25">
      <c r="L331" s="13"/>
      <c r="M331" s="13"/>
      <c r="P331" s="13"/>
      <c r="Q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</row>
    <row r="332" spans="1:53" ht="15.75" thickBot="1" x14ac:dyDescent="0.3">
      <c r="K332" s="126"/>
      <c r="L332" s="13"/>
      <c r="M332" s="13"/>
      <c r="N332" s="126"/>
      <c r="O332" s="126"/>
      <c r="P332" s="13"/>
      <c r="Q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</row>
    <row r="333" spans="1:53" ht="15.75" x14ac:dyDescent="0.25">
      <c r="A333" s="224" t="str">
        <f>References!$F$2</f>
        <v>Name</v>
      </c>
      <c r="B333" s="225"/>
      <c r="C333" s="222" t="s">
        <v>33</v>
      </c>
      <c r="D333" s="223"/>
      <c r="K333" s="126"/>
      <c r="L333" s="13"/>
      <c r="M333" s="13"/>
      <c r="N333" s="126"/>
      <c r="O333" s="126"/>
      <c r="P333" s="13"/>
      <c r="Q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</row>
    <row r="334" spans="1:53" ht="15.75" x14ac:dyDescent="0.25">
      <c r="A334" s="212" t="str">
        <f>References!$F$3</f>
        <v>Class</v>
      </c>
      <c r="B334" s="213"/>
      <c r="C334" s="218" t="e">
        <f>References!#REF!</f>
        <v>#REF!</v>
      </c>
      <c r="D334" s="219"/>
      <c r="K334" s="126"/>
      <c r="L334" s="13"/>
      <c r="M334" s="13"/>
      <c r="N334" s="126"/>
      <c r="O334" s="126"/>
      <c r="P334" s="13"/>
      <c r="Q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</row>
    <row r="335" spans="1:53" ht="15.75" x14ac:dyDescent="0.25">
      <c r="A335" s="212" t="str">
        <f>References!$F$4</f>
        <v>Type</v>
      </c>
      <c r="B335" s="213"/>
      <c r="C335" s="218" t="str">
        <f>References!$B$3</f>
        <v>Defensive</v>
      </c>
      <c r="D335" s="219"/>
      <c r="K335" s="126"/>
      <c r="L335" s="13"/>
      <c r="M335" s="13"/>
      <c r="N335" s="126"/>
      <c r="O335" s="126"/>
      <c r="P335" s="13"/>
      <c r="Q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</row>
    <row r="336" spans="1:53" ht="15.75" x14ac:dyDescent="0.25">
      <c r="A336" s="212" t="str">
        <f>References!$F$5</f>
        <v>Nb. Targets</v>
      </c>
      <c r="B336" s="213"/>
      <c r="C336" s="218">
        <v>1</v>
      </c>
      <c r="D336" s="219"/>
      <c r="K336" s="126"/>
      <c r="L336" s="13"/>
      <c r="M336" s="13"/>
      <c r="N336" s="126"/>
      <c r="O336" s="126"/>
      <c r="P336" s="13"/>
      <c r="Q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</row>
    <row r="337" spans="1:53" ht="16.5" thickBot="1" x14ac:dyDescent="0.3">
      <c r="A337" s="214" t="str">
        <f>References!$F$6</f>
        <v>Energy cost</v>
      </c>
      <c r="B337" s="215"/>
      <c r="C337" s="216">
        <v>3</v>
      </c>
      <c r="D337" s="217"/>
      <c r="E337" s="154"/>
      <c r="F337" s="156"/>
      <c r="G337" s="156"/>
      <c r="H337" s="156"/>
      <c r="I337" s="13"/>
      <c r="K337" s="154"/>
      <c r="L337" s="13"/>
      <c r="M337" s="13"/>
      <c r="N337" s="154"/>
      <c r="O337" s="154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</row>
    <row r="338" spans="1:53" ht="15.75" x14ac:dyDescent="0.25">
      <c r="A338" s="212" t="s">
        <v>111</v>
      </c>
      <c r="B338" s="213"/>
      <c r="C338" s="210">
        <v>1</v>
      </c>
      <c r="D338" s="211"/>
      <c r="E338" s="154"/>
      <c r="F338" s="156"/>
      <c r="G338" s="156"/>
      <c r="H338" s="156"/>
      <c r="I338" s="13"/>
      <c r="K338" s="154"/>
      <c r="L338" s="13"/>
      <c r="M338" s="13"/>
      <c r="N338" s="154"/>
      <c r="O338" s="154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</row>
    <row r="339" spans="1:53" ht="16.5" thickBot="1" x14ac:dyDescent="0.3">
      <c r="A339" s="214" t="s">
        <v>110</v>
      </c>
      <c r="B339" s="215"/>
      <c r="C339" s="208">
        <v>0</v>
      </c>
      <c r="D339" s="230"/>
      <c r="E339" s="154"/>
      <c r="F339" s="156"/>
      <c r="G339" s="156"/>
      <c r="H339" s="156"/>
      <c r="I339" s="13"/>
      <c r="K339" s="154"/>
      <c r="L339" s="13"/>
      <c r="M339" s="13"/>
      <c r="N339" s="154"/>
      <c r="O339" s="154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</row>
    <row r="340" spans="1:53" ht="16.5" thickBot="1" x14ac:dyDescent="0.3">
      <c r="A340" s="133" t="str">
        <f>References!$G$2</f>
        <v>Type</v>
      </c>
      <c r="B340" s="135" t="str">
        <f>References!$G$3</f>
        <v>Stat</v>
      </c>
      <c r="C340" s="146" t="str">
        <f>References!$G$7</f>
        <v>Nb</v>
      </c>
      <c r="D340" s="147" t="str">
        <f>References!$G$8</f>
        <v>Turns</v>
      </c>
      <c r="E340" s="152"/>
      <c r="F340" s="152"/>
      <c r="G340" s="155"/>
      <c r="H340" s="155"/>
      <c r="I340" s="13"/>
      <c r="L340" s="13"/>
      <c r="M340" s="13"/>
      <c r="P340" s="13"/>
      <c r="Q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</row>
    <row r="341" spans="1:53" ht="16.5" thickBot="1" x14ac:dyDescent="0.3">
      <c r="A341" s="127" t="str">
        <f>References!$C$2</f>
        <v>Direct</v>
      </c>
      <c r="B341" s="143" t="str">
        <f>References!$A$7</f>
        <v>rtl</v>
      </c>
      <c r="C341" s="144">
        <v>3</v>
      </c>
      <c r="D341" s="145"/>
      <c r="E341" s="13"/>
      <c r="F341" s="156"/>
      <c r="G341" s="154"/>
      <c r="H341" s="154"/>
      <c r="I341" s="13"/>
      <c r="L341" s="13"/>
      <c r="M341" s="13"/>
      <c r="P341" s="13"/>
      <c r="Q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</row>
    <row r="342" spans="1:53" ht="16.5" thickBot="1" x14ac:dyDescent="0.3">
      <c r="A342" s="129" t="str">
        <f>References!$C$3</f>
        <v>Temp</v>
      </c>
      <c r="B342" s="143" t="str">
        <f>References!$A$7</f>
        <v>rtl</v>
      </c>
      <c r="C342" s="141">
        <v>3</v>
      </c>
      <c r="D342" s="142">
        <v>2</v>
      </c>
      <c r="E342" s="13"/>
      <c r="F342" s="13"/>
      <c r="G342" s="154"/>
      <c r="H342" s="154"/>
      <c r="I342" s="13"/>
      <c r="L342" s="13"/>
      <c r="M342" s="13"/>
      <c r="P342" s="13"/>
      <c r="Q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</row>
    <row r="343" spans="1:53" x14ac:dyDescent="0.25">
      <c r="L343" s="13"/>
      <c r="M343" s="13"/>
      <c r="P343" s="13"/>
      <c r="Q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</row>
    <row r="344" spans="1:53" ht="15.75" thickBot="1" x14ac:dyDescent="0.3">
      <c r="K344" s="126"/>
      <c r="L344" s="13"/>
      <c r="M344" s="13"/>
      <c r="N344" s="126"/>
      <c r="O344" s="126"/>
      <c r="P344" s="13"/>
      <c r="Q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</row>
    <row r="345" spans="1:53" ht="15.75" x14ac:dyDescent="0.25">
      <c r="A345" s="224" t="str">
        <f>References!$F$2</f>
        <v>Name</v>
      </c>
      <c r="B345" s="225"/>
      <c r="C345" s="222" t="s">
        <v>96</v>
      </c>
      <c r="D345" s="223"/>
      <c r="K345" s="126"/>
      <c r="L345" s="13"/>
      <c r="M345" s="13"/>
      <c r="N345" s="126"/>
      <c r="O345" s="126"/>
      <c r="P345" s="13"/>
      <c r="Q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</row>
    <row r="346" spans="1:53" ht="15.75" x14ac:dyDescent="0.25">
      <c r="A346" s="212" t="str">
        <f>References!$F$3</f>
        <v>Class</v>
      </c>
      <c r="B346" s="213"/>
      <c r="C346" s="218" t="e">
        <f>References!#REF!</f>
        <v>#REF!</v>
      </c>
      <c r="D346" s="219"/>
      <c r="K346" s="126"/>
      <c r="L346" s="13"/>
      <c r="M346" s="13"/>
      <c r="N346" s="126"/>
      <c r="O346" s="126"/>
      <c r="P346" s="13"/>
      <c r="Q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</row>
    <row r="347" spans="1:53" ht="15.75" x14ac:dyDescent="0.25">
      <c r="A347" s="212" t="str">
        <f>References!$F$4</f>
        <v>Type</v>
      </c>
      <c r="B347" s="213"/>
      <c r="C347" s="218" t="str">
        <f>References!$B$2</f>
        <v>Offensive</v>
      </c>
      <c r="D347" s="219"/>
      <c r="K347" s="126"/>
      <c r="L347" s="13"/>
      <c r="M347" s="13"/>
      <c r="N347" s="126"/>
      <c r="O347" s="126"/>
      <c r="P347" s="13"/>
      <c r="Q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</row>
    <row r="348" spans="1:53" ht="15.75" x14ac:dyDescent="0.25">
      <c r="A348" s="212" t="str">
        <f>References!$F$5</f>
        <v>Nb. Targets</v>
      </c>
      <c r="B348" s="213"/>
      <c r="C348" s="218">
        <v>1</v>
      </c>
      <c r="D348" s="219"/>
      <c r="K348" s="126"/>
      <c r="L348" s="13"/>
      <c r="M348" s="13"/>
      <c r="N348" s="126"/>
      <c r="O348" s="126"/>
      <c r="P348" s="13"/>
      <c r="Q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</row>
    <row r="349" spans="1:53" ht="16.5" thickBot="1" x14ac:dyDescent="0.3">
      <c r="A349" s="214" t="str">
        <f>References!$F$6</f>
        <v>Energy cost</v>
      </c>
      <c r="B349" s="215"/>
      <c r="C349" s="216">
        <v>3</v>
      </c>
      <c r="D349" s="217"/>
      <c r="E349" s="154"/>
      <c r="F349" s="156"/>
      <c r="G349" s="156"/>
      <c r="H349" s="156"/>
      <c r="I349" s="13"/>
      <c r="K349" s="154"/>
      <c r="L349" s="13"/>
      <c r="M349" s="13"/>
      <c r="N349" s="154"/>
      <c r="O349" s="154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</row>
    <row r="350" spans="1:53" ht="15.75" x14ac:dyDescent="0.25">
      <c r="A350" s="212" t="s">
        <v>111</v>
      </c>
      <c r="B350" s="213"/>
      <c r="C350" s="210">
        <v>1</v>
      </c>
      <c r="D350" s="211"/>
      <c r="E350" s="154"/>
      <c r="F350" s="156"/>
      <c r="G350" s="156"/>
      <c r="H350" s="156"/>
      <c r="I350" s="13"/>
      <c r="K350" s="154"/>
      <c r="L350" s="13"/>
      <c r="M350" s="13"/>
      <c r="N350" s="154"/>
      <c r="O350" s="154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</row>
    <row r="351" spans="1:53" ht="16.5" thickBot="1" x14ac:dyDescent="0.3">
      <c r="A351" s="214" t="s">
        <v>110</v>
      </c>
      <c r="B351" s="215"/>
      <c r="C351" s="208">
        <v>0</v>
      </c>
      <c r="D351" s="230"/>
      <c r="E351" s="154"/>
      <c r="F351" s="156"/>
      <c r="G351" s="156"/>
      <c r="H351" s="156"/>
      <c r="I351" s="13"/>
      <c r="K351" s="154"/>
      <c r="L351" s="13"/>
      <c r="M351" s="13"/>
      <c r="N351" s="154"/>
      <c r="O351" s="154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</row>
    <row r="352" spans="1:53" ht="16.5" thickBot="1" x14ac:dyDescent="0.3">
      <c r="A352" s="133" t="str">
        <f>References!$G$2</f>
        <v>Type</v>
      </c>
      <c r="B352" s="135" t="str">
        <f>References!$G$3</f>
        <v>Stat</v>
      </c>
      <c r="C352" s="146" t="str">
        <f>References!$G$7</f>
        <v>Nb</v>
      </c>
      <c r="D352" s="147" t="str">
        <f>References!$G$8</f>
        <v>Turns</v>
      </c>
      <c r="E352" s="152"/>
      <c r="F352" s="152"/>
      <c r="G352" s="155"/>
      <c r="H352" s="155"/>
      <c r="L352" s="13"/>
      <c r="M352" s="13"/>
      <c r="P352" s="13"/>
      <c r="Q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</row>
    <row r="353" spans="1:53" ht="16.5" thickBot="1" x14ac:dyDescent="0.3">
      <c r="A353" s="127" t="str">
        <f>References!$C$2</f>
        <v>Direct</v>
      </c>
      <c r="B353" s="143" t="str">
        <f>References!$A$2</f>
        <v>dmg</v>
      </c>
      <c r="C353" s="144">
        <v>9</v>
      </c>
      <c r="D353" s="145"/>
      <c r="E353" s="13"/>
      <c r="F353" s="156"/>
      <c r="G353" s="154"/>
      <c r="H353" s="154"/>
      <c r="L353" s="13"/>
      <c r="M353" s="13"/>
      <c r="P353" s="13"/>
      <c r="Q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</row>
    <row r="354" spans="1:53" ht="16.5" thickBot="1" x14ac:dyDescent="0.3">
      <c r="A354" s="127" t="str">
        <f>References!$C$2</f>
        <v>Direct</v>
      </c>
      <c r="B354" s="139" t="str">
        <f>References!$A$5</f>
        <v>def</v>
      </c>
      <c r="C354" s="141">
        <v>2</v>
      </c>
      <c r="D354" s="145"/>
      <c r="E354" s="13"/>
      <c r="F354" s="156"/>
      <c r="G354" s="154"/>
      <c r="H354" s="154"/>
      <c r="L354" s="13"/>
      <c r="M354" s="13"/>
      <c r="P354" s="13"/>
      <c r="Q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</row>
    <row r="355" spans="1:53" ht="16.5" thickBot="1" x14ac:dyDescent="0.3">
      <c r="A355" s="127" t="str">
        <f>References!$C$5</f>
        <v>SelfTemp</v>
      </c>
      <c r="B355" s="139" t="str">
        <f>References!$A$5</f>
        <v>def</v>
      </c>
      <c r="C355" s="144">
        <v>2</v>
      </c>
      <c r="D355" s="142">
        <v>1</v>
      </c>
      <c r="E355" s="13"/>
      <c r="F355" s="13"/>
      <c r="G355" s="154"/>
      <c r="H355" s="154"/>
      <c r="L355" s="13"/>
      <c r="M355" s="13"/>
      <c r="P355" s="13"/>
      <c r="Q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</row>
    <row r="356" spans="1:53" ht="16.5" thickBot="1" x14ac:dyDescent="0.3">
      <c r="A356" s="127" t="str">
        <f>References!$C$5</f>
        <v>SelfTemp</v>
      </c>
      <c r="B356" s="143" t="str">
        <f>References!$A$3</f>
        <v>hp</v>
      </c>
      <c r="C356" s="141">
        <v>4</v>
      </c>
      <c r="D356" s="142">
        <v>1</v>
      </c>
      <c r="E356" s="13"/>
      <c r="F356" s="13"/>
      <c r="G356" s="154"/>
      <c r="H356" s="154"/>
      <c r="L356" s="13"/>
      <c r="M356" s="13"/>
      <c r="P356" s="13"/>
      <c r="Q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</row>
    <row r="357" spans="1:53" x14ac:dyDescent="0.25">
      <c r="L357" s="13"/>
      <c r="M357" s="13"/>
      <c r="P357" s="13"/>
      <c r="Q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</row>
    <row r="358" spans="1:53" ht="15.75" thickBot="1" x14ac:dyDescent="0.3">
      <c r="K358" s="126"/>
      <c r="L358" s="13"/>
      <c r="M358" s="13"/>
      <c r="N358" s="126"/>
      <c r="O358" s="126"/>
      <c r="P358" s="13"/>
      <c r="Q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</row>
    <row r="359" spans="1:53" ht="15.75" x14ac:dyDescent="0.25">
      <c r="A359" s="224" t="str">
        <f>References!$F$2</f>
        <v>Name</v>
      </c>
      <c r="B359" s="225"/>
      <c r="C359" s="222" t="s">
        <v>98</v>
      </c>
      <c r="D359" s="223"/>
      <c r="K359" s="126"/>
      <c r="L359" s="13"/>
      <c r="M359" s="13"/>
      <c r="N359" s="126"/>
      <c r="O359" s="126"/>
      <c r="P359" s="13"/>
      <c r="Q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</row>
    <row r="360" spans="1:53" ht="15.75" x14ac:dyDescent="0.25">
      <c r="A360" s="212" t="str">
        <f>References!$F$3</f>
        <v>Class</v>
      </c>
      <c r="B360" s="213"/>
      <c r="C360" s="218" t="str">
        <f>References!$E$7</f>
        <v>Assassin</v>
      </c>
      <c r="D360" s="219"/>
      <c r="K360" s="126"/>
      <c r="L360" s="13"/>
      <c r="M360" s="13"/>
      <c r="N360" s="126"/>
      <c r="O360" s="126"/>
      <c r="P360" s="13"/>
      <c r="Q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</row>
    <row r="361" spans="1:53" ht="15.75" x14ac:dyDescent="0.25">
      <c r="A361" s="212" t="str">
        <f>References!$F$4</f>
        <v>Type</v>
      </c>
      <c r="B361" s="213"/>
      <c r="C361" s="218" t="str">
        <f>References!$B$3</f>
        <v>Defensive</v>
      </c>
      <c r="D361" s="219"/>
      <c r="K361" s="126"/>
      <c r="L361" s="13"/>
      <c r="M361" s="13"/>
      <c r="N361" s="126"/>
      <c r="O361" s="126"/>
      <c r="P361" s="13"/>
      <c r="Q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</row>
    <row r="362" spans="1:53" ht="15.75" x14ac:dyDescent="0.25">
      <c r="A362" s="212" t="str">
        <f>References!$F$5</f>
        <v>Nb. Targets</v>
      </c>
      <c r="B362" s="213"/>
      <c r="C362" s="218">
        <v>1</v>
      </c>
      <c r="D362" s="219"/>
      <c r="K362" s="126"/>
      <c r="L362" s="13"/>
      <c r="M362" s="13"/>
      <c r="N362" s="126"/>
      <c r="O362" s="126"/>
      <c r="P362" s="13"/>
      <c r="Q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</row>
    <row r="363" spans="1:53" ht="16.5" thickBot="1" x14ac:dyDescent="0.3">
      <c r="A363" s="214" t="str">
        <f>References!$F$6</f>
        <v>Energy cost</v>
      </c>
      <c r="B363" s="215"/>
      <c r="C363" s="216">
        <v>1</v>
      </c>
      <c r="D363" s="217"/>
      <c r="E363" s="154"/>
      <c r="F363" s="156"/>
      <c r="G363" s="156"/>
      <c r="H363" s="156"/>
      <c r="I363" s="13"/>
      <c r="K363" s="154"/>
      <c r="L363" s="13"/>
      <c r="M363" s="13"/>
      <c r="N363" s="154"/>
      <c r="O363" s="154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</row>
    <row r="364" spans="1:53" ht="15.75" x14ac:dyDescent="0.25">
      <c r="A364" s="212" t="s">
        <v>111</v>
      </c>
      <c r="B364" s="213"/>
      <c r="C364" s="210">
        <v>1</v>
      </c>
      <c r="D364" s="211"/>
      <c r="E364" s="154"/>
      <c r="F364" s="156"/>
      <c r="G364" s="156"/>
      <c r="H364" s="156"/>
      <c r="I364" s="13"/>
      <c r="K364" s="154"/>
      <c r="L364" s="13"/>
      <c r="M364" s="13"/>
      <c r="N364" s="154"/>
      <c r="O364" s="154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</row>
    <row r="365" spans="1:53" ht="16.5" thickBot="1" x14ac:dyDescent="0.3">
      <c r="A365" s="214" t="s">
        <v>110</v>
      </c>
      <c r="B365" s="215"/>
      <c r="C365" s="208">
        <v>0</v>
      </c>
      <c r="D365" s="230"/>
      <c r="E365" s="154"/>
      <c r="F365" s="156"/>
      <c r="G365" s="156"/>
      <c r="H365" s="156"/>
      <c r="I365" s="13"/>
      <c r="K365" s="154"/>
      <c r="L365" s="13"/>
      <c r="M365" s="13"/>
      <c r="N365" s="154"/>
      <c r="O365" s="154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</row>
    <row r="366" spans="1:53" ht="16.5" thickBot="1" x14ac:dyDescent="0.3">
      <c r="A366" s="133" t="str">
        <f>References!$G$2</f>
        <v>Type</v>
      </c>
      <c r="B366" s="135" t="str">
        <f>References!$G$3</f>
        <v>Stat</v>
      </c>
      <c r="C366" s="146" t="str">
        <f>References!$G$7</f>
        <v>Nb</v>
      </c>
      <c r="D366" s="147" t="str">
        <f>References!$G$8</f>
        <v>Turns</v>
      </c>
      <c r="E366" s="152"/>
      <c r="F366" s="152"/>
      <c r="G366" s="155"/>
      <c r="H366" s="155"/>
      <c r="I366" s="13"/>
      <c r="L366" s="13"/>
      <c r="M366" s="13"/>
      <c r="P366" s="13"/>
      <c r="Q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</row>
    <row r="367" spans="1:53" ht="16.5" thickBot="1" x14ac:dyDescent="0.3">
      <c r="A367" s="127" t="str">
        <f>References!$C$2</f>
        <v>Direct</v>
      </c>
      <c r="B367" s="143" t="str">
        <f>References!$A$9</f>
        <v>roll</v>
      </c>
      <c r="C367" s="144">
        <v>1</v>
      </c>
      <c r="D367" s="145"/>
      <c r="E367" s="13"/>
      <c r="F367" s="156"/>
      <c r="G367" s="154"/>
      <c r="H367" s="154"/>
      <c r="I367" s="13"/>
      <c r="L367" s="13"/>
      <c r="M367" s="13"/>
      <c r="P367" s="13"/>
      <c r="Q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</row>
    <row r="368" spans="1:53" ht="16.5" thickBot="1" x14ac:dyDescent="0.3">
      <c r="A368" s="129" t="str">
        <f>References!$C$3</f>
        <v>Temp</v>
      </c>
      <c r="B368" s="143" t="str">
        <f>References!$A$9</f>
        <v>roll</v>
      </c>
      <c r="C368" s="141">
        <v>1</v>
      </c>
      <c r="D368" s="142">
        <v>1</v>
      </c>
      <c r="E368" s="13"/>
      <c r="F368" s="13"/>
      <c r="G368" s="154"/>
      <c r="H368" s="154"/>
      <c r="I368" s="13"/>
      <c r="L368" s="13"/>
      <c r="M368" s="13"/>
      <c r="P368" s="13"/>
      <c r="Q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</row>
    <row r="369" spans="1:53" x14ac:dyDescent="0.25">
      <c r="L369" s="13"/>
      <c r="M369" s="13"/>
      <c r="P369" s="13"/>
      <c r="Q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</row>
    <row r="370" spans="1:53" ht="15.75" thickBot="1" x14ac:dyDescent="0.3">
      <c r="K370" s="126"/>
      <c r="L370" s="13"/>
      <c r="M370" s="13"/>
      <c r="N370" s="126"/>
      <c r="O370" s="126"/>
      <c r="P370" s="13"/>
      <c r="Q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</row>
    <row r="371" spans="1:53" ht="15.75" x14ac:dyDescent="0.25">
      <c r="A371" s="224" t="str">
        <f>References!$F$2</f>
        <v>Name</v>
      </c>
      <c r="B371" s="225"/>
      <c r="C371" s="222" t="s">
        <v>24</v>
      </c>
      <c r="D371" s="223"/>
      <c r="K371" s="126"/>
      <c r="L371" s="13"/>
      <c r="M371" s="13"/>
      <c r="N371" s="126"/>
      <c r="O371" s="126"/>
      <c r="P371" s="13"/>
      <c r="Q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</row>
    <row r="372" spans="1:53" ht="15.75" x14ac:dyDescent="0.25">
      <c r="A372" s="212" t="str">
        <f>References!$F$3</f>
        <v>Class</v>
      </c>
      <c r="B372" s="213"/>
      <c r="C372" s="218" t="str">
        <f>References!$E$8</f>
        <v>Necromancer</v>
      </c>
      <c r="D372" s="219"/>
      <c r="K372" s="126"/>
      <c r="L372" s="13"/>
      <c r="M372" s="13"/>
      <c r="N372" s="126"/>
      <c r="O372" s="126"/>
      <c r="P372" s="13"/>
      <c r="Q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</row>
    <row r="373" spans="1:53" ht="15.75" x14ac:dyDescent="0.25">
      <c r="A373" s="212" t="str">
        <f>References!$F$4</f>
        <v>Type</v>
      </c>
      <c r="B373" s="213"/>
      <c r="C373" s="218" t="str">
        <f>References!$B$3</f>
        <v>Defensive</v>
      </c>
      <c r="D373" s="219"/>
      <c r="K373" s="126"/>
      <c r="L373" s="13"/>
      <c r="M373" s="13"/>
      <c r="N373" s="126"/>
      <c r="O373" s="126"/>
      <c r="P373" s="13"/>
      <c r="Q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</row>
    <row r="374" spans="1:53" ht="15.75" x14ac:dyDescent="0.25">
      <c r="A374" s="212" t="str">
        <f>References!$F$5</f>
        <v>Nb. Targets</v>
      </c>
      <c r="B374" s="213"/>
      <c r="C374" s="218">
        <v>3</v>
      </c>
      <c r="D374" s="219"/>
      <c r="K374" s="126"/>
      <c r="L374" s="13"/>
      <c r="M374" s="13"/>
      <c r="N374" s="126"/>
      <c r="O374" s="126"/>
      <c r="P374" s="13"/>
      <c r="Q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</row>
    <row r="375" spans="1:53" ht="16.5" thickBot="1" x14ac:dyDescent="0.3">
      <c r="A375" s="214" t="str">
        <f>References!$F$6</f>
        <v>Energy cost</v>
      </c>
      <c r="B375" s="215"/>
      <c r="C375" s="216">
        <v>2</v>
      </c>
      <c r="D375" s="217"/>
      <c r="E375" s="154"/>
      <c r="F375" s="156"/>
      <c r="G375" s="156"/>
      <c r="H375" s="156"/>
      <c r="I375" s="13"/>
      <c r="K375" s="154"/>
      <c r="L375" s="13"/>
      <c r="M375" s="13"/>
      <c r="N375" s="154"/>
      <c r="O375" s="154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</row>
    <row r="376" spans="1:53" ht="15.75" x14ac:dyDescent="0.25">
      <c r="A376" s="212" t="s">
        <v>111</v>
      </c>
      <c r="B376" s="213"/>
      <c r="C376" s="210">
        <v>1</v>
      </c>
      <c r="D376" s="211"/>
      <c r="E376" s="154"/>
      <c r="F376" s="156"/>
      <c r="G376" s="156"/>
      <c r="H376" s="156"/>
      <c r="I376" s="13"/>
      <c r="K376" s="154"/>
      <c r="L376" s="13"/>
      <c r="M376" s="13"/>
      <c r="N376" s="154"/>
      <c r="O376" s="154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</row>
    <row r="377" spans="1:53" ht="16.5" thickBot="1" x14ac:dyDescent="0.3">
      <c r="A377" s="214" t="s">
        <v>110</v>
      </c>
      <c r="B377" s="215"/>
      <c r="C377" s="208">
        <v>0.33</v>
      </c>
      <c r="D377" s="230"/>
      <c r="E377" s="154"/>
      <c r="F377" s="156"/>
      <c r="G377" s="156"/>
      <c r="H377" s="156"/>
      <c r="I377" s="13"/>
      <c r="K377" s="154"/>
      <c r="L377" s="13"/>
      <c r="M377" s="13"/>
      <c r="N377" s="154"/>
      <c r="O377" s="154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</row>
    <row r="378" spans="1:53" ht="16.5" thickBot="1" x14ac:dyDescent="0.3">
      <c r="A378" s="133" t="str">
        <f>References!$G$2</f>
        <v>Type</v>
      </c>
      <c r="B378" s="135" t="str">
        <f>References!$G$3</f>
        <v>Stat</v>
      </c>
      <c r="C378" s="146" t="str">
        <f>References!$G$7</f>
        <v>Nb</v>
      </c>
      <c r="D378" s="147" t="str">
        <f>References!$G$8</f>
        <v>Turns</v>
      </c>
      <c r="E378" s="152"/>
      <c r="F378" s="152"/>
      <c r="G378" s="155"/>
      <c r="H378" s="155"/>
      <c r="L378" s="13"/>
      <c r="M378" s="13"/>
      <c r="P378" s="13"/>
      <c r="Q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</row>
    <row r="379" spans="1:53" ht="16.5" thickBot="1" x14ac:dyDescent="0.3">
      <c r="A379" s="129" t="str">
        <f>References!$C$2</f>
        <v>Direct</v>
      </c>
      <c r="B379" s="139" t="str">
        <f>References!$A$5</f>
        <v>def</v>
      </c>
      <c r="C379" s="144">
        <v>2</v>
      </c>
      <c r="D379" s="145"/>
      <c r="E379" s="13"/>
      <c r="F379" s="156"/>
      <c r="G379" s="154"/>
      <c r="H379" s="154"/>
      <c r="L379" s="13"/>
      <c r="M379" s="13"/>
      <c r="P379" s="13"/>
      <c r="Q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</row>
    <row r="380" spans="1:53" ht="16.5" thickBot="1" x14ac:dyDescent="0.3">
      <c r="A380" s="129" t="str">
        <f>References!$C$3</f>
        <v>Temp</v>
      </c>
      <c r="B380" s="139" t="str">
        <f>References!$A$5</f>
        <v>def</v>
      </c>
      <c r="C380" s="141">
        <v>2</v>
      </c>
      <c r="D380" s="142">
        <v>1</v>
      </c>
      <c r="E380" s="13"/>
      <c r="F380" s="13"/>
      <c r="G380" s="154"/>
      <c r="H380" s="154"/>
      <c r="L380" s="13"/>
      <c r="M380" s="13"/>
      <c r="P380" s="13"/>
      <c r="Q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</row>
    <row r="381" spans="1:53" x14ac:dyDescent="0.25">
      <c r="L381" s="13"/>
      <c r="M381" s="13"/>
      <c r="P381" s="13"/>
      <c r="Q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</row>
    <row r="382" spans="1:53" ht="15.75" thickBot="1" x14ac:dyDescent="0.3">
      <c r="K382" s="126"/>
      <c r="L382" s="13"/>
      <c r="M382" s="13"/>
      <c r="N382" s="126"/>
      <c r="O382" s="126"/>
      <c r="P382" s="13"/>
      <c r="Q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</row>
    <row r="383" spans="1:53" ht="15.75" x14ac:dyDescent="0.25">
      <c r="A383" s="224" t="str">
        <f>References!$F$2</f>
        <v>Name</v>
      </c>
      <c r="B383" s="225"/>
      <c r="C383" s="222" t="s">
        <v>25</v>
      </c>
      <c r="D383" s="223"/>
      <c r="K383" s="126"/>
      <c r="L383" s="13"/>
      <c r="M383" s="13"/>
      <c r="N383" s="126"/>
      <c r="O383" s="126"/>
      <c r="P383" s="13"/>
      <c r="Q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</row>
    <row r="384" spans="1:53" ht="15.75" x14ac:dyDescent="0.25">
      <c r="A384" s="212" t="str">
        <f>References!$F$3</f>
        <v>Class</v>
      </c>
      <c r="B384" s="213"/>
      <c r="C384" s="218" t="str">
        <f>References!$E$8</f>
        <v>Necromancer</v>
      </c>
      <c r="D384" s="219"/>
      <c r="K384" s="126"/>
      <c r="L384" s="13"/>
      <c r="M384" s="13"/>
      <c r="N384" s="126"/>
      <c r="O384" s="126"/>
      <c r="P384" s="13"/>
      <c r="Q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</row>
    <row r="385" spans="1:53" ht="15.75" x14ac:dyDescent="0.25">
      <c r="A385" s="212" t="str">
        <f>References!$F$4</f>
        <v>Type</v>
      </c>
      <c r="B385" s="213"/>
      <c r="C385" s="218" t="str">
        <f>References!$B$2</f>
        <v>Offensive</v>
      </c>
      <c r="D385" s="219"/>
      <c r="K385" s="126"/>
      <c r="L385" s="13"/>
      <c r="M385" s="13"/>
      <c r="N385" s="126"/>
      <c r="O385" s="126"/>
      <c r="P385" s="13"/>
      <c r="Q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</row>
    <row r="386" spans="1:53" ht="15.75" x14ac:dyDescent="0.25">
      <c r="A386" s="212" t="str">
        <f>References!$F$5</f>
        <v>Nb. Targets</v>
      </c>
      <c r="B386" s="213"/>
      <c r="C386" s="218">
        <v>3</v>
      </c>
      <c r="D386" s="219"/>
      <c r="K386" s="126"/>
      <c r="L386" s="13"/>
      <c r="M386" s="13"/>
      <c r="N386" s="126"/>
      <c r="O386" s="126"/>
      <c r="P386" s="13"/>
      <c r="Q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</row>
    <row r="387" spans="1:53" ht="16.5" thickBot="1" x14ac:dyDescent="0.3">
      <c r="A387" s="214" t="str">
        <f>References!$F$6</f>
        <v>Energy cost</v>
      </c>
      <c r="B387" s="215"/>
      <c r="C387" s="216">
        <v>3</v>
      </c>
      <c r="D387" s="217"/>
      <c r="E387" s="154"/>
      <c r="F387" s="156"/>
      <c r="G387" s="156"/>
      <c r="H387" s="156"/>
      <c r="I387" s="13"/>
      <c r="K387" s="154"/>
      <c r="L387" s="13"/>
      <c r="M387" s="13"/>
      <c r="N387" s="154"/>
      <c r="O387" s="154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</row>
    <row r="388" spans="1:53" ht="15.75" x14ac:dyDescent="0.25">
      <c r="A388" s="212" t="s">
        <v>111</v>
      </c>
      <c r="B388" s="213"/>
      <c r="C388" s="210">
        <v>1</v>
      </c>
      <c r="D388" s="211"/>
      <c r="E388" s="154"/>
      <c r="F388" s="156"/>
      <c r="G388" s="156"/>
      <c r="H388" s="156"/>
      <c r="I388" s="13"/>
      <c r="K388" s="154"/>
      <c r="L388" s="13"/>
      <c r="M388" s="13"/>
      <c r="N388" s="154"/>
      <c r="O388" s="154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</row>
    <row r="389" spans="1:53" ht="16.5" thickBot="1" x14ac:dyDescent="0.3">
      <c r="A389" s="214" t="s">
        <v>110</v>
      </c>
      <c r="B389" s="215"/>
      <c r="C389" s="208">
        <v>0.33</v>
      </c>
      <c r="D389" s="230"/>
      <c r="E389" s="154"/>
      <c r="F389" s="156"/>
      <c r="G389" s="156"/>
      <c r="H389" s="156"/>
      <c r="I389" s="13"/>
      <c r="K389" s="154"/>
      <c r="L389" s="13"/>
      <c r="M389" s="13"/>
      <c r="N389" s="154"/>
      <c r="O389" s="154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</row>
    <row r="390" spans="1:53" ht="16.5" thickBot="1" x14ac:dyDescent="0.3">
      <c r="A390" s="133" t="str">
        <f>References!$G$2</f>
        <v>Type</v>
      </c>
      <c r="B390" s="135" t="str">
        <f>References!$G$3</f>
        <v>Stat</v>
      </c>
      <c r="C390" s="146" t="str">
        <f>References!$G$7</f>
        <v>Nb</v>
      </c>
      <c r="D390" s="147" t="str">
        <f>References!$G$8</f>
        <v>Turns</v>
      </c>
      <c r="E390" s="152"/>
      <c r="F390" s="152"/>
      <c r="G390" s="155"/>
      <c r="H390" s="155"/>
      <c r="I390" s="13"/>
      <c r="L390" s="13"/>
      <c r="M390" s="13"/>
      <c r="P390" s="13"/>
      <c r="Q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</row>
    <row r="391" spans="1:53" ht="16.5" thickBot="1" x14ac:dyDescent="0.3">
      <c r="A391" s="129" t="str">
        <f>References!$C$2</f>
        <v>Direct</v>
      </c>
      <c r="B391" s="139" t="str">
        <f>References!$A$2</f>
        <v>dmg</v>
      </c>
      <c r="C391" s="144">
        <v>4</v>
      </c>
      <c r="D391" s="145"/>
      <c r="E391" s="13"/>
      <c r="F391" s="156"/>
      <c r="G391" s="154"/>
      <c r="H391" s="154"/>
      <c r="I391" s="13"/>
      <c r="L391" s="13"/>
      <c r="M391" s="13"/>
      <c r="P391" s="13"/>
      <c r="Q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</row>
    <row r="392" spans="1:53" x14ac:dyDescent="0.25">
      <c r="L392" s="13"/>
      <c r="M392" s="13"/>
      <c r="P392" s="13"/>
      <c r="Q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</row>
    <row r="393" spans="1:53" ht="15.75" thickBot="1" x14ac:dyDescent="0.3">
      <c r="K393" s="126"/>
      <c r="L393" s="13"/>
      <c r="M393" s="13"/>
      <c r="N393" s="126"/>
      <c r="O393" s="126"/>
      <c r="P393" s="13"/>
      <c r="Q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</row>
    <row r="394" spans="1:53" ht="15.75" x14ac:dyDescent="0.25">
      <c r="A394" s="224" t="str">
        <f>References!$F$2</f>
        <v>Name</v>
      </c>
      <c r="B394" s="225"/>
      <c r="C394" s="222" t="s">
        <v>7</v>
      </c>
      <c r="D394" s="223"/>
      <c r="K394" s="126"/>
      <c r="L394" s="13"/>
      <c r="M394" s="13"/>
      <c r="N394" s="126"/>
      <c r="O394" s="126"/>
      <c r="P394" s="13"/>
      <c r="Q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</row>
    <row r="395" spans="1:53" ht="15.75" x14ac:dyDescent="0.25">
      <c r="A395" s="212" t="str">
        <f>References!$F$3</f>
        <v>Class</v>
      </c>
      <c r="B395" s="213"/>
      <c r="C395" s="218" t="str">
        <f>References!$D$4</f>
        <v>Sorcerer</v>
      </c>
      <c r="D395" s="219"/>
      <c r="K395" s="126"/>
      <c r="L395" s="13"/>
      <c r="M395" s="13"/>
      <c r="N395" s="126"/>
      <c r="O395" s="126"/>
      <c r="P395" s="13"/>
      <c r="Q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</row>
    <row r="396" spans="1:53" ht="15.75" x14ac:dyDescent="0.25">
      <c r="A396" s="212" t="str">
        <f>References!$F$4</f>
        <v>Type</v>
      </c>
      <c r="B396" s="213"/>
      <c r="C396" s="218" t="str">
        <f>References!$B$2</f>
        <v>Offensive</v>
      </c>
      <c r="D396" s="219"/>
      <c r="K396" s="126"/>
      <c r="L396" s="13"/>
      <c r="M396" s="13"/>
      <c r="N396" s="126"/>
      <c r="O396" s="126"/>
      <c r="P396" s="13"/>
      <c r="Q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</row>
    <row r="397" spans="1:53" ht="15.75" x14ac:dyDescent="0.25">
      <c r="A397" s="212" t="str">
        <f>References!$F$5</f>
        <v>Nb. Targets</v>
      </c>
      <c r="B397" s="213"/>
      <c r="C397" s="218">
        <v>1</v>
      </c>
      <c r="D397" s="219"/>
      <c r="K397" s="126"/>
      <c r="L397" s="13"/>
      <c r="M397" s="13"/>
      <c r="N397" s="126"/>
      <c r="O397" s="126"/>
      <c r="P397" s="13"/>
      <c r="Q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</row>
    <row r="398" spans="1:53" ht="16.5" thickBot="1" x14ac:dyDescent="0.3">
      <c r="A398" s="214" t="str">
        <f>References!$F$6</f>
        <v>Energy cost</v>
      </c>
      <c r="B398" s="215"/>
      <c r="C398" s="216">
        <v>2</v>
      </c>
      <c r="D398" s="217"/>
      <c r="E398" s="154"/>
      <c r="F398" s="156"/>
      <c r="G398" s="156"/>
      <c r="H398" s="156"/>
      <c r="I398" s="13"/>
      <c r="K398" s="154"/>
      <c r="L398" s="13"/>
      <c r="M398" s="13"/>
      <c r="N398" s="154"/>
      <c r="O398" s="154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</row>
    <row r="399" spans="1:53" ht="15.75" x14ac:dyDescent="0.25">
      <c r="A399" s="212" t="s">
        <v>111</v>
      </c>
      <c r="B399" s="213"/>
      <c r="C399" s="210">
        <v>1</v>
      </c>
      <c r="D399" s="211"/>
      <c r="E399" s="154"/>
      <c r="F399" s="156"/>
      <c r="G399" s="156"/>
      <c r="H399" s="156"/>
      <c r="I399" s="13"/>
      <c r="K399" s="154"/>
      <c r="L399" s="13"/>
      <c r="M399" s="13"/>
      <c r="N399" s="154"/>
      <c r="O399" s="154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</row>
    <row r="400" spans="1:53" ht="16.5" thickBot="1" x14ac:dyDescent="0.3">
      <c r="A400" s="214" t="s">
        <v>110</v>
      </c>
      <c r="B400" s="215"/>
      <c r="C400" s="208">
        <v>0.66700000000000004</v>
      </c>
      <c r="D400" s="230"/>
      <c r="E400" s="154"/>
      <c r="F400" s="13" t="s">
        <v>121</v>
      </c>
      <c r="G400" s="13">
        <f>_xlfn.FLOOR.MATH(10/IF(OR(C398=1,C398=0),2,C398))</f>
        <v>5</v>
      </c>
      <c r="K400" s="154"/>
      <c r="L400" s="13"/>
      <c r="M400" s="13"/>
      <c r="N400" s="154"/>
      <c r="O400" s="154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</row>
    <row r="401" spans="1:53" ht="16.5" thickBot="1" x14ac:dyDescent="0.3">
      <c r="A401" s="133" t="str">
        <f>References!$G$2</f>
        <v>Type</v>
      </c>
      <c r="B401" s="135" t="str">
        <f>References!$G$3</f>
        <v>Stat</v>
      </c>
      <c r="C401" s="146" t="str">
        <f>References!$G$7</f>
        <v>Nb</v>
      </c>
      <c r="D401" s="147" t="str">
        <f>References!$G$8</f>
        <v>Turns</v>
      </c>
      <c r="E401" s="194"/>
      <c r="F401" s="13" t="s">
        <v>119</v>
      </c>
      <c r="G401" s="176" t="s">
        <v>120</v>
      </c>
      <c r="H401" s="13" t="s">
        <v>123</v>
      </c>
      <c r="I401" s="176" t="s">
        <v>124</v>
      </c>
      <c r="L401" s="13"/>
      <c r="M401" s="13"/>
      <c r="P401" s="13"/>
      <c r="Q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</row>
    <row r="402" spans="1:53" ht="16.5" thickBot="1" x14ac:dyDescent="0.3">
      <c r="A402" s="127" t="str">
        <f>References!$C$2</f>
        <v>Direct</v>
      </c>
      <c r="B402" s="143" t="str">
        <f>References!$A$2</f>
        <v>dmg</v>
      </c>
      <c r="C402" s="144">
        <v>3</v>
      </c>
      <c r="D402" s="145"/>
      <c r="E402" s="194"/>
      <c r="F402" s="13">
        <f>(C402+(1*C400))*C397</f>
        <v>3.6669999999999998</v>
      </c>
      <c r="G402">
        <f>IF(D402="",F402,F402*D402)</f>
        <v>3.6669999999999998</v>
      </c>
      <c r="H402">
        <f>(C402-(1-C400)*1)*C397</f>
        <v>2.6669999999999998</v>
      </c>
      <c r="I402">
        <f>IF(D402="",H402,H402*D402)</f>
        <v>2.6669999999999998</v>
      </c>
      <c r="L402" s="13"/>
      <c r="M402" s="13"/>
      <c r="P402" s="13"/>
      <c r="Q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</row>
    <row r="403" spans="1:53" x14ac:dyDescent="0.25">
      <c r="E403" s="13"/>
      <c r="F403" s="13" t="s">
        <v>112</v>
      </c>
      <c r="G403">
        <f>SUM(G402)</f>
        <v>3.6669999999999998</v>
      </c>
      <c r="I403" s="13">
        <f>SUM(I402)</f>
        <v>2.6669999999999998</v>
      </c>
      <c r="J403" s="13"/>
      <c r="M403" s="13"/>
      <c r="N403" s="13"/>
      <c r="Q403" s="13"/>
      <c r="R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S403" s="13"/>
      <c r="AT403" s="13"/>
      <c r="AU403" s="13"/>
      <c r="AV403" s="13"/>
      <c r="AW403" s="13"/>
      <c r="AX403" s="13"/>
      <c r="AY403" s="13"/>
      <c r="AZ403" s="13"/>
      <c r="BA403" s="13"/>
    </row>
    <row r="404" spans="1:53" x14ac:dyDescent="0.25">
      <c r="E404" s="13"/>
      <c r="F404" s="13"/>
      <c r="G404" s="13"/>
      <c r="H404" s="13"/>
      <c r="I404" s="13"/>
      <c r="K404" s="126"/>
      <c r="L404" s="13"/>
      <c r="M404" s="13"/>
      <c r="N404" s="126"/>
      <c r="O404" s="126"/>
      <c r="P404" s="13"/>
      <c r="Q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</row>
    <row r="405" spans="1:53" x14ac:dyDescent="0.25">
      <c r="E405" s="13"/>
      <c r="F405" s="152" t="s">
        <v>115</v>
      </c>
      <c r="G405" s="13" t="s">
        <v>114</v>
      </c>
      <c r="H405" s="192" t="s">
        <v>116</v>
      </c>
      <c r="I405" s="126" t="s">
        <v>113</v>
      </c>
      <c r="J405" s="152" t="s">
        <v>117</v>
      </c>
      <c r="K405" s="193" t="s">
        <v>122</v>
      </c>
      <c r="L405" s="126"/>
      <c r="O405" s="126"/>
      <c r="P405" s="13"/>
      <c r="Q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</row>
    <row r="406" spans="1:53" x14ac:dyDescent="0.25">
      <c r="E406" s="13"/>
      <c r="F406" s="13"/>
      <c r="G406" s="13"/>
      <c r="H406" s="13"/>
      <c r="I406" s="13"/>
      <c r="K406" s="126"/>
      <c r="L406" s="13"/>
      <c r="M406" s="13"/>
      <c r="N406" s="126"/>
      <c r="O406" s="126"/>
      <c r="P406" s="13"/>
      <c r="Q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</row>
    <row r="407" spans="1:53" x14ac:dyDescent="0.25">
      <c r="E407" s="13"/>
      <c r="F407" s="13">
        <f>(G403/(20*C397))*100</f>
        <v>18.334999999999997</v>
      </c>
      <c r="G407" s="13">
        <f>G403*G400</f>
        <v>18.335000000000001</v>
      </c>
      <c r="H407">
        <f>(104.3421 + (9.456889 - 104.3421)/(1 + (G407/39.91202)^3.274503))/C397</f>
        <v>16.347449017065074</v>
      </c>
      <c r="I407" s="126">
        <f>G403/C398</f>
        <v>1.8334999999999999</v>
      </c>
      <c r="J407" s="13">
        <f>(I407/20)*100</f>
        <v>9.1674999999999986</v>
      </c>
      <c r="K407" s="13">
        <f>(0.3*F407)+(0.3*H407)+(0.4*J407)</f>
        <v>14.071734705119519</v>
      </c>
      <c r="N407" s="126"/>
      <c r="O407" s="126"/>
      <c r="P407" s="13"/>
      <c r="Q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</row>
    <row r="408" spans="1:53" x14ac:dyDescent="0.25">
      <c r="E408" s="13"/>
      <c r="F408" s="152" t="s">
        <v>115</v>
      </c>
      <c r="G408" s="13" t="s">
        <v>114</v>
      </c>
      <c r="H408" s="192" t="s">
        <v>116</v>
      </c>
      <c r="I408" s="126" t="s">
        <v>113</v>
      </c>
      <c r="J408" s="152" t="s">
        <v>117</v>
      </c>
      <c r="K408" s="193" t="s">
        <v>122</v>
      </c>
      <c r="N408" s="126"/>
      <c r="O408" s="126"/>
      <c r="P408" s="13"/>
      <c r="Q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</row>
    <row r="409" spans="1:53" x14ac:dyDescent="0.25">
      <c r="E409" s="13"/>
      <c r="F409" s="13"/>
      <c r="G409" s="13"/>
      <c r="H409" s="13"/>
      <c r="I409" s="13"/>
      <c r="K409" s="126"/>
      <c r="N409" s="126"/>
      <c r="O409" s="126"/>
      <c r="P409" s="13"/>
      <c r="Q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</row>
    <row r="410" spans="1:53" x14ac:dyDescent="0.25">
      <c r="E410" s="13"/>
      <c r="F410" s="13">
        <f>(I403/(20*C397))*100</f>
        <v>13.334999999999999</v>
      </c>
      <c r="G410" s="13">
        <f>G400*I403</f>
        <v>13.334999999999999</v>
      </c>
      <c r="H410">
        <f>(104.3421 + (9.456889 - 104.3421)/(1 + (G410/39.91202)^3.274503))/C397</f>
        <v>12.005753843716406</v>
      </c>
      <c r="I410" s="126">
        <f>I403/C398</f>
        <v>1.3334999999999999</v>
      </c>
      <c r="J410" s="13">
        <f>(I410/20)*100</f>
        <v>6.6674999999999995</v>
      </c>
      <c r="K410" s="13">
        <f>(0.3*F410)+(0.3*H410)+(0.4*J410)</f>
        <v>10.269226153114921</v>
      </c>
      <c r="N410" s="126"/>
      <c r="O410" s="126"/>
      <c r="P410" s="13"/>
      <c r="Q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</row>
    <row r="411" spans="1:53" x14ac:dyDescent="0.25">
      <c r="E411" s="13"/>
      <c r="F411" s="13" t="s">
        <v>118</v>
      </c>
      <c r="G411" s="13">
        <f>(K407+K410)/2</f>
        <v>12.17048042911722</v>
      </c>
      <c r="I411" s="126"/>
      <c r="J411" s="13"/>
      <c r="K411" s="13"/>
      <c r="N411" s="126"/>
      <c r="O411" s="126"/>
      <c r="P411" s="13"/>
      <c r="Q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</row>
    <row r="412" spans="1:53" x14ac:dyDescent="0.25">
      <c r="L412" s="13"/>
      <c r="M412" s="13"/>
      <c r="P412" s="13"/>
      <c r="Q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</row>
    <row r="413" spans="1:53" ht="15.75" thickBot="1" x14ac:dyDescent="0.3">
      <c r="K413" s="126"/>
      <c r="L413" s="13"/>
      <c r="M413" s="13"/>
      <c r="N413" s="126"/>
      <c r="O413" s="126"/>
      <c r="P413" s="13"/>
      <c r="Q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</row>
    <row r="414" spans="1:53" ht="15.75" x14ac:dyDescent="0.25">
      <c r="A414" s="224" t="str">
        <f>References!$F$2</f>
        <v>Name</v>
      </c>
      <c r="B414" s="225"/>
      <c r="C414" s="222" t="s">
        <v>105</v>
      </c>
      <c r="D414" s="223"/>
      <c r="K414" s="126"/>
      <c r="L414" s="13"/>
      <c r="M414" s="13"/>
      <c r="N414" s="126"/>
      <c r="O414" s="126"/>
      <c r="P414" s="13"/>
      <c r="Q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</row>
    <row r="415" spans="1:53" ht="15.75" x14ac:dyDescent="0.25">
      <c r="A415" s="212" t="str">
        <f>References!$F$3</f>
        <v>Class</v>
      </c>
      <c r="B415" s="213"/>
      <c r="C415" s="218" t="str">
        <f>References!$D$4</f>
        <v>Sorcerer</v>
      </c>
      <c r="D415" s="219"/>
      <c r="K415" s="126"/>
      <c r="L415" s="13"/>
      <c r="M415" s="13"/>
      <c r="N415" s="126"/>
      <c r="O415" s="126"/>
      <c r="P415" s="13"/>
      <c r="Q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</row>
    <row r="416" spans="1:53" ht="15.75" x14ac:dyDescent="0.25">
      <c r="A416" s="212" t="str">
        <f>References!$F$4</f>
        <v>Type</v>
      </c>
      <c r="B416" s="213"/>
      <c r="C416" s="218" t="str">
        <f>References!$B$3</f>
        <v>Defensive</v>
      </c>
      <c r="D416" s="219"/>
      <c r="K416" s="126"/>
      <c r="L416" s="13"/>
      <c r="M416" s="13"/>
      <c r="N416" s="126"/>
      <c r="O416" s="126"/>
      <c r="P416" s="13"/>
      <c r="Q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</row>
    <row r="417" spans="1:53" ht="15.75" x14ac:dyDescent="0.25">
      <c r="A417" s="212" t="str">
        <f>References!$F$5</f>
        <v>Nb. Targets</v>
      </c>
      <c r="B417" s="213"/>
      <c r="C417" s="218">
        <v>1</v>
      </c>
      <c r="D417" s="219"/>
      <c r="K417" s="126"/>
      <c r="L417" s="13"/>
      <c r="M417" s="13"/>
      <c r="N417" s="126"/>
      <c r="O417" s="126"/>
      <c r="P417" s="13"/>
      <c r="Q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</row>
    <row r="418" spans="1:53" ht="16.5" thickBot="1" x14ac:dyDescent="0.3">
      <c r="A418" s="214" t="str">
        <f>References!$F$6</f>
        <v>Energy cost</v>
      </c>
      <c r="B418" s="215"/>
      <c r="C418" s="216">
        <v>1</v>
      </c>
      <c r="D418" s="217"/>
      <c r="E418" s="154"/>
      <c r="F418" s="156"/>
      <c r="G418" s="156"/>
      <c r="H418" s="156"/>
      <c r="I418" s="13"/>
      <c r="K418" s="154"/>
      <c r="L418" s="13"/>
      <c r="M418" s="13"/>
      <c r="N418" s="154"/>
      <c r="O418" s="154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</row>
    <row r="419" spans="1:53" ht="15.75" x14ac:dyDescent="0.25">
      <c r="A419" s="212" t="s">
        <v>111</v>
      </c>
      <c r="B419" s="213"/>
      <c r="C419" s="210">
        <v>1</v>
      </c>
      <c r="D419" s="211"/>
      <c r="E419" s="154"/>
      <c r="F419" s="156"/>
      <c r="G419" s="156"/>
      <c r="H419" s="156"/>
      <c r="I419" s="13"/>
      <c r="K419" s="154"/>
      <c r="L419" s="13"/>
      <c r="M419" s="13"/>
      <c r="N419" s="154"/>
      <c r="O419" s="154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</row>
    <row r="420" spans="1:53" ht="16.5" thickBot="1" x14ac:dyDescent="0.3">
      <c r="A420" s="214" t="s">
        <v>110</v>
      </c>
      <c r="B420" s="215"/>
      <c r="C420" s="235">
        <f>0+1/6</f>
        <v>0.16666666666666666</v>
      </c>
      <c r="D420" s="236"/>
      <c r="E420" s="154"/>
      <c r="F420" s="13" t="s">
        <v>121</v>
      </c>
      <c r="G420" s="13">
        <f>_xlfn.FLOOR.MATH(10/IF(OR(C418=1,C418=0),2,C418))</f>
        <v>5</v>
      </c>
      <c r="K420" s="154"/>
      <c r="L420" s="13"/>
      <c r="M420" s="13"/>
      <c r="N420" s="154"/>
      <c r="O420" s="154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</row>
    <row r="421" spans="1:53" ht="16.5" thickBot="1" x14ac:dyDescent="0.3">
      <c r="A421" s="133" t="str">
        <f>References!$G$2</f>
        <v>Type</v>
      </c>
      <c r="B421" s="135" t="str">
        <f>References!$G$3</f>
        <v>Stat</v>
      </c>
      <c r="C421" s="146" t="str">
        <f>References!$G$7</f>
        <v>Nb</v>
      </c>
      <c r="D421" s="147" t="str">
        <f>References!$G$8</f>
        <v>Turns</v>
      </c>
      <c r="E421" s="152"/>
      <c r="F421" s="13" t="s">
        <v>119</v>
      </c>
      <c r="G421" s="176" t="s">
        <v>120</v>
      </c>
      <c r="H421" s="13" t="s">
        <v>123</v>
      </c>
      <c r="I421" s="176" t="s">
        <v>124</v>
      </c>
      <c r="L421" s="13"/>
      <c r="M421" s="13"/>
      <c r="P421" s="13"/>
      <c r="Q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</row>
    <row r="422" spans="1:53" ht="16.5" thickBot="1" x14ac:dyDescent="0.3">
      <c r="A422" s="127" t="str">
        <f>References!$C$2</f>
        <v>Direct</v>
      </c>
      <c r="B422" s="143" t="str">
        <f>References!$A$3</f>
        <v>hp</v>
      </c>
      <c r="C422" s="144">
        <v>3</v>
      </c>
      <c r="D422" s="145"/>
      <c r="E422" s="13"/>
      <c r="F422" s="13">
        <f>(C422+(1*C420))*C417</f>
        <v>3.1666666666666665</v>
      </c>
      <c r="G422">
        <f>IF(D422="",F422,F422*D422)</f>
        <v>3.1666666666666665</v>
      </c>
      <c r="H422">
        <f>(C422-(1-C420)*1)*C417</f>
        <v>2.1666666666666665</v>
      </c>
      <c r="I422">
        <f>IF(D422="",H422,H422*D422)</f>
        <v>2.1666666666666665</v>
      </c>
      <c r="L422" s="13"/>
      <c r="M422" s="13"/>
      <c r="P422" s="13"/>
      <c r="Q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</row>
    <row r="423" spans="1:53" x14ac:dyDescent="0.25">
      <c r="E423" s="13"/>
      <c r="F423" s="13" t="s">
        <v>112</v>
      </c>
      <c r="G423">
        <f>SUM(G422)</f>
        <v>3.1666666666666665</v>
      </c>
      <c r="I423" s="13">
        <f>SUM(I422)</f>
        <v>2.1666666666666665</v>
      </c>
      <c r="J423" s="13"/>
      <c r="M423" s="13"/>
      <c r="N423" s="13"/>
      <c r="Q423" s="13"/>
      <c r="R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S423" s="13"/>
      <c r="AT423" s="13"/>
      <c r="AU423" s="13"/>
      <c r="AV423" s="13"/>
      <c r="AW423" s="13"/>
      <c r="AX423" s="13"/>
      <c r="AY423" s="13"/>
      <c r="AZ423" s="13"/>
      <c r="BA423" s="13"/>
    </row>
    <row r="424" spans="1:53" x14ac:dyDescent="0.25">
      <c r="E424" s="13"/>
      <c r="F424" s="13"/>
      <c r="G424" s="13"/>
      <c r="H424" s="13"/>
      <c r="I424" s="13"/>
      <c r="K424" s="126"/>
      <c r="L424" s="13"/>
      <c r="M424" s="13"/>
      <c r="N424" s="126"/>
      <c r="O424" s="126"/>
      <c r="P424" s="13"/>
      <c r="Q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</row>
    <row r="425" spans="1:53" x14ac:dyDescent="0.25">
      <c r="E425" s="13"/>
      <c r="F425" s="152" t="s">
        <v>115</v>
      </c>
      <c r="G425" s="13" t="s">
        <v>114</v>
      </c>
      <c r="H425" s="192" t="s">
        <v>116</v>
      </c>
      <c r="I425" s="126" t="s">
        <v>113</v>
      </c>
      <c r="J425" s="152" t="s">
        <v>117</v>
      </c>
      <c r="K425" s="193" t="s">
        <v>122</v>
      </c>
      <c r="L425" s="126"/>
      <c r="O425" s="126"/>
      <c r="P425" s="13"/>
      <c r="Q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</row>
    <row r="426" spans="1:53" x14ac:dyDescent="0.25">
      <c r="E426" s="13"/>
      <c r="F426" s="13"/>
      <c r="G426" s="13"/>
      <c r="H426" s="13"/>
      <c r="I426" s="13"/>
      <c r="K426" s="126"/>
      <c r="L426" s="13"/>
      <c r="M426" s="13"/>
      <c r="N426" s="126"/>
      <c r="O426" s="126"/>
      <c r="P426" s="13"/>
      <c r="Q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</row>
    <row r="427" spans="1:53" x14ac:dyDescent="0.25">
      <c r="E427" s="13"/>
      <c r="F427" s="13">
        <f>(G423/(20*C417))*100</f>
        <v>15.833333333333332</v>
      </c>
      <c r="G427" s="13">
        <f>G423*G420</f>
        <v>15.833333333333332</v>
      </c>
      <c r="H427">
        <f>(104.3421 + (9.456889 - 104.3421)/(1 + (G427/39.91202)^3.274503))/C417</f>
        <v>13.840583056492122</v>
      </c>
      <c r="I427" s="126">
        <f>G423/C418</f>
        <v>3.1666666666666665</v>
      </c>
      <c r="J427" s="13">
        <f>(I427/20)*100</f>
        <v>15.833333333333332</v>
      </c>
      <c r="K427" s="13">
        <f>(0.3*F427)+(0.3*H427)+(0.4*J427)</f>
        <v>15.235508250280969</v>
      </c>
      <c r="N427" s="126"/>
      <c r="O427" s="126"/>
      <c r="P427" s="13"/>
      <c r="Q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</row>
    <row r="428" spans="1:53" x14ac:dyDescent="0.25">
      <c r="E428" s="13"/>
      <c r="F428" s="152" t="s">
        <v>115</v>
      </c>
      <c r="G428" s="13" t="s">
        <v>114</v>
      </c>
      <c r="H428" s="192" t="s">
        <v>116</v>
      </c>
      <c r="I428" s="126" t="s">
        <v>113</v>
      </c>
      <c r="J428" s="152" t="s">
        <v>117</v>
      </c>
      <c r="K428" s="193" t="s">
        <v>122</v>
      </c>
      <c r="N428" s="126"/>
      <c r="O428" s="126"/>
      <c r="P428" s="13"/>
      <c r="Q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</row>
    <row r="429" spans="1:53" x14ac:dyDescent="0.25">
      <c r="E429" s="13"/>
      <c r="F429" s="13"/>
      <c r="G429" s="13"/>
      <c r="H429" s="13"/>
      <c r="I429" s="13"/>
      <c r="K429" s="126"/>
      <c r="N429" s="126"/>
      <c r="O429" s="126"/>
      <c r="P429" s="13"/>
      <c r="Q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</row>
    <row r="430" spans="1:53" x14ac:dyDescent="0.25">
      <c r="E430" s="13"/>
      <c r="F430" s="13">
        <f>(I423/(20*C417))*100</f>
        <v>10.833333333333332</v>
      </c>
      <c r="G430" s="13">
        <f>G420*I423</f>
        <v>10.833333333333332</v>
      </c>
      <c r="H430">
        <f>(104.3421 + (9.456889 - 104.3421)/(1 + (G430/39.91202)^3.274503))/C417</f>
        <v>10.765112018666699</v>
      </c>
      <c r="I430" s="126">
        <f>I423/C418</f>
        <v>2.1666666666666665</v>
      </c>
      <c r="J430" s="13">
        <f>(I430/20)*100</f>
        <v>10.833333333333332</v>
      </c>
      <c r="K430" s="13">
        <f>(0.3*F430)+(0.3*H430)+(0.4*J430)</f>
        <v>10.812866938933343</v>
      </c>
      <c r="N430" s="126"/>
      <c r="O430" s="126"/>
      <c r="P430" s="13"/>
      <c r="Q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</row>
    <row r="431" spans="1:53" x14ac:dyDescent="0.25">
      <c r="E431" s="13"/>
      <c r="F431" s="13" t="s">
        <v>118</v>
      </c>
      <c r="G431" s="13">
        <f>(K427+K430)/2</f>
        <v>13.024187594607156</v>
      </c>
      <c r="I431" s="126"/>
      <c r="J431" s="13"/>
      <c r="K431" s="13"/>
      <c r="N431" s="126"/>
      <c r="O431" s="126"/>
      <c r="P431" s="13"/>
      <c r="Q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</row>
    <row r="432" spans="1:53" x14ac:dyDescent="0.25">
      <c r="L432" s="13"/>
      <c r="M432" s="13"/>
      <c r="P432" s="13"/>
      <c r="Q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</row>
    <row r="433" spans="1:53" ht="15.75" thickBot="1" x14ac:dyDescent="0.3">
      <c r="K433" s="126"/>
      <c r="L433" s="13"/>
      <c r="M433" s="13"/>
      <c r="N433" s="126"/>
      <c r="O433" s="126"/>
      <c r="P433" s="13"/>
      <c r="Q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</row>
    <row r="434" spans="1:53" ht="15.75" x14ac:dyDescent="0.25">
      <c r="A434" s="224" t="str">
        <f>References!$F$2</f>
        <v>Name</v>
      </c>
      <c r="B434" s="225"/>
      <c r="C434" s="222" t="s">
        <v>19</v>
      </c>
      <c r="D434" s="223"/>
      <c r="K434" s="126"/>
      <c r="L434" s="13"/>
      <c r="M434" s="13"/>
      <c r="N434" s="126"/>
      <c r="O434" s="126"/>
      <c r="P434" s="13"/>
      <c r="Q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</row>
    <row r="435" spans="1:53" ht="15.75" x14ac:dyDescent="0.25">
      <c r="A435" s="212" t="str">
        <f>References!$F$3</f>
        <v>Class</v>
      </c>
      <c r="B435" s="213"/>
      <c r="C435" s="218" t="str">
        <f>References!$E$9</f>
        <v>Wizard</v>
      </c>
      <c r="D435" s="219"/>
      <c r="K435" s="126"/>
      <c r="L435" s="13"/>
      <c r="M435" s="13"/>
      <c r="N435" s="126"/>
      <c r="O435" s="126"/>
      <c r="P435" s="13"/>
      <c r="Q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</row>
    <row r="436" spans="1:53" ht="15.75" x14ac:dyDescent="0.25">
      <c r="A436" s="212" t="str">
        <f>References!$F$4</f>
        <v>Type</v>
      </c>
      <c r="B436" s="213"/>
      <c r="C436" s="218" t="str">
        <f>References!$B$2</f>
        <v>Offensive</v>
      </c>
      <c r="D436" s="219"/>
      <c r="K436" s="126"/>
      <c r="L436" s="13"/>
      <c r="M436" s="13"/>
      <c r="N436" s="126"/>
      <c r="O436" s="126"/>
      <c r="P436" s="13"/>
      <c r="Q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</row>
    <row r="437" spans="1:53" ht="15.75" x14ac:dyDescent="0.25">
      <c r="A437" s="212" t="str">
        <f>References!$F$5</f>
        <v>Nb. Targets</v>
      </c>
      <c r="B437" s="213"/>
      <c r="C437" s="218">
        <v>3</v>
      </c>
      <c r="D437" s="219"/>
      <c r="K437" s="126"/>
      <c r="L437" s="13"/>
      <c r="M437" s="13"/>
      <c r="N437" s="126"/>
      <c r="O437" s="126"/>
      <c r="P437" s="13"/>
      <c r="Q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</row>
    <row r="438" spans="1:53" ht="16.5" thickBot="1" x14ac:dyDescent="0.3">
      <c r="A438" s="214" t="str">
        <f>References!$F$6</f>
        <v>Energy cost</v>
      </c>
      <c r="B438" s="215"/>
      <c r="C438" s="216">
        <v>3</v>
      </c>
      <c r="D438" s="217"/>
      <c r="E438" s="154"/>
      <c r="F438" s="156"/>
      <c r="G438" s="156"/>
      <c r="H438" s="156"/>
      <c r="I438" s="13"/>
      <c r="K438" s="154"/>
      <c r="L438" s="13"/>
      <c r="M438" s="13"/>
      <c r="N438" s="154"/>
      <c r="O438" s="154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</row>
    <row r="439" spans="1:53" ht="15.75" x14ac:dyDescent="0.25">
      <c r="A439" s="212" t="s">
        <v>111</v>
      </c>
      <c r="B439" s="213"/>
      <c r="C439" s="210">
        <v>1</v>
      </c>
      <c r="D439" s="211"/>
      <c r="E439" s="154"/>
      <c r="F439" s="156"/>
      <c r="G439" s="156"/>
      <c r="H439" s="156"/>
      <c r="I439" s="13"/>
      <c r="K439" s="154"/>
      <c r="L439" s="13"/>
      <c r="M439" s="13"/>
      <c r="N439" s="154"/>
      <c r="O439" s="154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</row>
    <row r="440" spans="1:53" ht="16.5" thickBot="1" x14ac:dyDescent="0.3">
      <c r="A440" s="214" t="s">
        <v>110</v>
      </c>
      <c r="B440" s="215"/>
      <c r="C440" s="208">
        <v>0.5</v>
      </c>
      <c r="D440" s="230"/>
      <c r="E440" s="154"/>
      <c r="F440" s="13" t="s">
        <v>121</v>
      </c>
      <c r="G440" s="13">
        <f>_xlfn.FLOOR.MATH(10/IF(OR(C438=1,C438=0),2,C438))</f>
        <v>3</v>
      </c>
      <c r="K440" s="154"/>
      <c r="L440" s="13"/>
      <c r="M440" s="13"/>
      <c r="N440" s="154"/>
      <c r="O440" s="154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</row>
    <row r="441" spans="1:53" ht="16.5" thickBot="1" x14ac:dyDescent="0.3">
      <c r="A441" s="133" t="str">
        <f>References!$G$2</f>
        <v>Type</v>
      </c>
      <c r="B441" s="135" t="str">
        <f>References!$G$3</f>
        <v>Stat</v>
      </c>
      <c r="C441" s="146" t="str">
        <f>References!$G$7</f>
        <v>Nb</v>
      </c>
      <c r="D441" s="147" t="str">
        <f>References!$G$8</f>
        <v>Turns</v>
      </c>
      <c r="E441" s="194"/>
      <c r="F441" s="13" t="s">
        <v>119</v>
      </c>
      <c r="G441" s="176" t="s">
        <v>120</v>
      </c>
      <c r="H441" s="13" t="s">
        <v>123</v>
      </c>
      <c r="I441" s="176" t="s">
        <v>124</v>
      </c>
      <c r="L441" s="13"/>
      <c r="M441" s="13"/>
      <c r="P441" s="13"/>
      <c r="Q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</row>
    <row r="442" spans="1:53" ht="16.5" thickBot="1" x14ac:dyDescent="0.3">
      <c r="A442" s="127" t="str">
        <f>References!$C$2</f>
        <v>Direct</v>
      </c>
      <c r="B442" s="143" t="str">
        <f>References!$A$2</f>
        <v>dmg</v>
      </c>
      <c r="C442" s="144">
        <v>4</v>
      </c>
      <c r="D442" s="145"/>
      <c r="E442" s="194"/>
      <c r="F442" s="13">
        <f>(C442+(1*C440))*C437</f>
        <v>13.5</v>
      </c>
      <c r="G442">
        <f>IF(D442="",F442,F442*D442)</f>
        <v>13.5</v>
      </c>
      <c r="H442">
        <f>(C442-(1-C440)*1)*C437</f>
        <v>10.5</v>
      </c>
      <c r="I442">
        <f>IF(D442="",H442,H442*D442)</f>
        <v>10.5</v>
      </c>
      <c r="L442" s="13"/>
      <c r="M442" s="13"/>
      <c r="P442" s="13"/>
      <c r="Q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</row>
    <row r="443" spans="1:53" x14ac:dyDescent="0.25">
      <c r="E443" s="13"/>
      <c r="F443" s="13" t="s">
        <v>112</v>
      </c>
      <c r="G443">
        <f>SUM(G442)</f>
        <v>13.5</v>
      </c>
      <c r="I443" s="13">
        <f>SUM(I442)</f>
        <v>10.5</v>
      </c>
      <c r="J443" s="13"/>
      <c r="M443" s="13"/>
      <c r="N443" s="13"/>
      <c r="Q443" s="13"/>
      <c r="R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S443" s="13"/>
      <c r="AT443" s="13"/>
      <c r="AU443" s="13"/>
      <c r="AV443" s="13"/>
      <c r="AW443" s="13"/>
      <c r="AX443" s="13"/>
      <c r="AY443" s="13"/>
      <c r="AZ443" s="13"/>
      <c r="BA443" s="13"/>
    </row>
    <row r="444" spans="1:53" x14ac:dyDescent="0.25">
      <c r="E444" s="13"/>
      <c r="F444" s="13"/>
      <c r="G444" s="13"/>
      <c r="H444" s="13"/>
      <c r="I444" s="13"/>
      <c r="K444" s="126"/>
      <c r="L444" s="13"/>
      <c r="M444" s="13"/>
      <c r="N444" s="126"/>
      <c r="O444" s="126"/>
      <c r="P444" s="13"/>
      <c r="Q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</row>
    <row r="445" spans="1:53" x14ac:dyDescent="0.25">
      <c r="E445" s="13"/>
      <c r="F445" s="152" t="s">
        <v>115</v>
      </c>
      <c r="G445" s="13" t="s">
        <v>114</v>
      </c>
      <c r="H445" s="192" t="s">
        <v>116</v>
      </c>
      <c r="I445" s="126" t="s">
        <v>113</v>
      </c>
      <c r="J445" s="152" t="s">
        <v>117</v>
      </c>
      <c r="K445" s="193" t="s">
        <v>122</v>
      </c>
      <c r="L445" s="126"/>
      <c r="O445" s="126"/>
      <c r="P445" s="13"/>
      <c r="Q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</row>
    <row r="446" spans="1:53" x14ac:dyDescent="0.25">
      <c r="E446" s="13"/>
      <c r="F446" s="13">
        <f>(G443/(20*C437))*100</f>
        <v>22.5</v>
      </c>
      <c r="G446" s="13">
        <f>G443*G440</f>
        <v>40.5</v>
      </c>
      <c r="H446">
        <f>(104.3421 + (9.456889 - 104.3421)/(1 + (G446/39.91202)^3.274503))/C437</f>
        <v>19.345079335839809</v>
      </c>
      <c r="I446" s="126">
        <f>G443/C438</f>
        <v>4.5</v>
      </c>
      <c r="J446" s="13">
        <f>(I446/20)*100</f>
        <v>22.5</v>
      </c>
      <c r="K446" s="13">
        <f>(0.3*F446)+(0.3*H446)+(0.4*J446)</f>
        <v>21.553523800751943</v>
      </c>
      <c r="N446" s="126"/>
      <c r="O446" s="126"/>
      <c r="P446" s="13"/>
      <c r="Q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</row>
    <row r="447" spans="1:53" x14ac:dyDescent="0.25">
      <c r="E447" s="13"/>
      <c r="F447" s="152" t="s">
        <v>115</v>
      </c>
      <c r="G447" s="13" t="s">
        <v>114</v>
      </c>
      <c r="H447" s="192" t="s">
        <v>116</v>
      </c>
      <c r="I447" s="126" t="s">
        <v>113</v>
      </c>
      <c r="J447" s="152" t="s">
        <v>117</v>
      </c>
      <c r="K447" s="193" t="s">
        <v>122</v>
      </c>
      <c r="N447" s="126"/>
      <c r="O447" s="126"/>
      <c r="P447" s="13"/>
      <c r="Q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</row>
    <row r="448" spans="1:53" x14ac:dyDescent="0.25">
      <c r="E448" s="13"/>
      <c r="F448" s="13">
        <f>(I443/(20*C437))*100</f>
        <v>17.5</v>
      </c>
      <c r="G448" s="13">
        <f>G440*I443</f>
        <v>31.5</v>
      </c>
      <c r="H448">
        <f>(104.3421 + (9.456889 - 104.3421)/(1 + (G448/39.91202)^3.274503))/C437</f>
        <v>13.127560100596503</v>
      </c>
      <c r="I448" s="126">
        <f>I443/C438</f>
        <v>3.5</v>
      </c>
      <c r="J448" s="13">
        <f>(I448/20)*100</f>
        <v>17.5</v>
      </c>
      <c r="K448" s="13">
        <f>(0.3*F448)+(0.3*H448)+(0.4*J448)</f>
        <v>16.18826803017895</v>
      </c>
      <c r="N448" s="126"/>
      <c r="O448" s="126"/>
      <c r="P448" s="13"/>
      <c r="Q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</row>
    <row r="449" spans="1:53" x14ac:dyDescent="0.25">
      <c r="E449" s="13"/>
      <c r="F449" s="13" t="s">
        <v>118</v>
      </c>
      <c r="G449" s="13">
        <f>(K446+K448)/2</f>
        <v>18.870895915465447</v>
      </c>
      <c r="I449" s="126"/>
      <c r="J449" s="13"/>
      <c r="K449" s="13"/>
      <c r="N449" s="126"/>
      <c r="O449" s="126"/>
      <c r="P449" s="13"/>
      <c r="Q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</row>
    <row r="450" spans="1:53" x14ac:dyDescent="0.25">
      <c r="L450" s="13"/>
      <c r="M450" s="13"/>
      <c r="P450" s="13"/>
      <c r="Q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</row>
    <row r="451" spans="1:53" ht="15.75" thickBot="1" x14ac:dyDescent="0.3">
      <c r="K451" s="126"/>
      <c r="L451" s="13"/>
      <c r="M451" s="13"/>
      <c r="N451" s="126"/>
      <c r="O451" s="126"/>
      <c r="P451" s="13"/>
      <c r="Q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</row>
    <row r="452" spans="1:53" ht="15.75" x14ac:dyDescent="0.25">
      <c r="A452" s="224" t="str">
        <f>References!$F$2</f>
        <v>Name</v>
      </c>
      <c r="B452" s="225"/>
      <c r="C452" s="222" t="s">
        <v>20</v>
      </c>
      <c r="D452" s="223"/>
      <c r="K452" s="126"/>
      <c r="L452" s="13"/>
      <c r="M452" s="13"/>
      <c r="N452" s="126"/>
      <c r="O452" s="126"/>
      <c r="P452" s="13"/>
      <c r="Q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</row>
    <row r="453" spans="1:53" ht="15.75" x14ac:dyDescent="0.25">
      <c r="A453" s="212" t="str">
        <f>References!$F$3</f>
        <v>Class</v>
      </c>
      <c r="B453" s="213"/>
      <c r="C453" s="218" t="str">
        <f>References!$E$10</f>
        <v>Leech</v>
      </c>
      <c r="D453" s="219"/>
      <c r="K453" s="126"/>
      <c r="L453" s="13"/>
      <c r="M453" s="13"/>
      <c r="N453" s="126"/>
      <c r="O453" s="126"/>
      <c r="P453" s="13"/>
      <c r="Q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</row>
    <row r="454" spans="1:53" ht="15.75" x14ac:dyDescent="0.25">
      <c r="A454" s="212" t="str">
        <f>References!$F$4</f>
        <v>Type</v>
      </c>
      <c r="B454" s="213"/>
      <c r="C454" s="218" t="str">
        <f>References!$B$2</f>
        <v>Offensive</v>
      </c>
      <c r="D454" s="219"/>
      <c r="K454" s="126"/>
      <c r="L454" s="13"/>
      <c r="M454" s="13"/>
      <c r="N454" s="126"/>
      <c r="O454" s="126"/>
      <c r="P454" s="13"/>
      <c r="Q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</row>
    <row r="455" spans="1:53" ht="15.75" x14ac:dyDescent="0.25">
      <c r="A455" s="212" t="str">
        <f>References!$F$5</f>
        <v>Nb. Targets</v>
      </c>
      <c r="B455" s="213"/>
      <c r="C455" s="218">
        <v>1</v>
      </c>
      <c r="D455" s="219"/>
      <c r="K455" s="126"/>
      <c r="L455" s="13"/>
      <c r="M455" s="13"/>
      <c r="N455" s="126"/>
      <c r="O455" s="126"/>
      <c r="P455" s="13"/>
      <c r="Q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</row>
    <row r="456" spans="1:53" ht="16.5" thickBot="1" x14ac:dyDescent="0.3">
      <c r="A456" s="214" t="str">
        <f>References!$F$6</f>
        <v>Energy cost</v>
      </c>
      <c r="B456" s="215"/>
      <c r="C456" s="216">
        <v>2</v>
      </c>
      <c r="D456" s="217"/>
      <c r="E456" s="154"/>
      <c r="F456" s="156"/>
      <c r="G456" s="156"/>
      <c r="H456" s="156"/>
      <c r="I456" s="13"/>
      <c r="K456" s="154"/>
      <c r="L456" s="13"/>
      <c r="M456" s="13"/>
      <c r="N456" s="154"/>
      <c r="O456" s="154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</row>
    <row r="457" spans="1:53" ht="15.75" x14ac:dyDescent="0.25">
      <c r="A457" s="212" t="s">
        <v>111</v>
      </c>
      <c r="B457" s="213"/>
      <c r="C457" s="210">
        <v>1</v>
      </c>
      <c r="D457" s="211"/>
      <c r="E457" s="154"/>
      <c r="F457" s="156"/>
      <c r="G457" s="156"/>
      <c r="H457" s="156"/>
      <c r="I457" s="13"/>
      <c r="K457" s="154"/>
      <c r="L457" s="13"/>
      <c r="M457" s="13"/>
      <c r="N457" s="154"/>
      <c r="O457" s="154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</row>
    <row r="458" spans="1:53" ht="16.5" thickBot="1" x14ac:dyDescent="0.3">
      <c r="A458" s="214" t="s">
        <v>110</v>
      </c>
      <c r="B458" s="215"/>
      <c r="C458" s="208">
        <v>0.5</v>
      </c>
      <c r="D458" s="230"/>
      <c r="E458" s="154"/>
      <c r="F458" s="13" t="s">
        <v>121</v>
      </c>
      <c r="G458" s="13">
        <f>_xlfn.FLOOR.MATH(10/IF(OR(C456=1,C456=0),2,C456))</f>
        <v>5</v>
      </c>
      <c r="K458" s="154"/>
      <c r="L458" s="13"/>
      <c r="M458" s="13"/>
      <c r="N458" s="154"/>
      <c r="O458" s="154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</row>
    <row r="459" spans="1:53" ht="16.5" thickBot="1" x14ac:dyDescent="0.3">
      <c r="A459" s="133" t="str">
        <f>References!$G$2</f>
        <v>Type</v>
      </c>
      <c r="B459" s="135" t="str">
        <f>References!$G$3</f>
        <v>Stat</v>
      </c>
      <c r="C459" s="146" t="str">
        <f>References!$G$7</f>
        <v>Nb</v>
      </c>
      <c r="D459" s="147" t="str">
        <f>References!$G$8</f>
        <v>Turns</v>
      </c>
      <c r="E459" s="152"/>
      <c r="F459" s="13" t="s">
        <v>119</v>
      </c>
      <c r="G459" s="176" t="s">
        <v>120</v>
      </c>
      <c r="H459" s="13" t="s">
        <v>123</v>
      </c>
      <c r="I459" s="176" t="s">
        <v>124</v>
      </c>
      <c r="L459" s="13"/>
      <c r="M459" s="13"/>
      <c r="P459" s="13"/>
      <c r="Q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</row>
    <row r="460" spans="1:53" ht="16.5" thickBot="1" x14ac:dyDescent="0.3">
      <c r="A460" s="127" t="str">
        <f>References!$C$2</f>
        <v>Direct</v>
      </c>
      <c r="B460" s="143" t="str">
        <f>References!$A$2</f>
        <v>dmg</v>
      </c>
      <c r="C460" s="144">
        <v>2</v>
      </c>
      <c r="D460" s="145"/>
      <c r="E460" s="13"/>
      <c r="F460" s="13">
        <f>(C460+(1*C458))*C455</f>
        <v>2.5</v>
      </c>
      <c r="G460">
        <f>IF(D460="",F460,F460*D460)</f>
        <v>2.5</v>
      </c>
      <c r="H460">
        <f>(C460-(1-C458)*1)*C455</f>
        <v>1.5</v>
      </c>
      <c r="I460">
        <f>IF(D460="",H460,H460*D460)</f>
        <v>1.5</v>
      </c>
      <c r="L460" s="13"/>
      <c r="M460" s="13"/>
      <c r="P460" s="13"/>
      <c r="Q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</row>
    <row r="461" spans="1:53" ht="16.5" thickBot="1" x14ac:dyDescent="0.3">
      <c r="A461" s="127" t="str">
        <f>References!$C$4</f>
        <v>SelfDirect</v>
      </c>
      <c r="B461" s="143" t="str">
        <f>References!$A$3</f>
        <v>hp</v>
      </c>
      <c r="C461" s="141">
        <v>2</v>
      </c>
      <c r="D461" s="145"/>
      <c r="E461" s="13"/>
      <c r="F461" s="13">
        <f>(C461+(1*C458))*C455</f>
        <v>2.5</v>
      </c>
      <c r="G461">
        <f>IF(D461="",F461,F461*D461)</f>
        <v>2.5</v>
      </c>
      <c r="H461">
        <f>(C461-(1-C458)*1)*C455</f>
        <v>1.5</v>
      </c>
      <c r="I461">
        <f>IF(D461="",H461,H461*D461)</f>
        <v>1.5</v>
      </c>
      <c r="L461" s="13"/>
      <c r="M461" s="13"/>
      <c r="P461" s="13"/>
      <c r="Q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</row>
    <row r="462" spans="1:53" x14ac:dyDescent="0.25">
      <c r="E462" s="13"/>
      <c r="F462" s="13" t="s">
        <v>112</v>
      </c>
      <c r="G462">
        <f>SUM(G460:G461)</f>
        <v>5</v>
      </c>
      <c r="I462" s="13">
        <f>SUM(I460:I461)</f>
        <v>3</v>
      </c>
      <c r="J462" s="13"/>
      <c r="M462" s="13"/>
      <c r="N462" s="13"/>
      <c r="Q462" s="13"/>
      <c r="R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S462" s="13"/>
      <c r="AT462" s="13"/>
      <c r="AU462" s="13"/>
      <c r="AV462" s="13"/>
      <c r="AW462" s="13"/>
      <c r="AX462" s="13"/>
      <c r="AY462" s="13"/>
      <c r="AZ462" s="13"/>
      <c r="BA462" s="13"/>
    </row>
    <row r="463" spans="1:53" x14ac:dyDescent="0.25">
      <c r="E463" s="13"/>
      <c r="F463" s="13"/>
      <c r="G463" s="13"/>
      <c r="H463" s="13"/>
      <c r="I463" s="13"/>
      <c r="K463" s="126"/>
      <c r="L463" s="13"/>
      <c r="M463" s="13"/>
      <c r="N463" s="126"/>
      <c r="O463" s="126"/>
      <c r="P463" s="13"/>
      <c r="Q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</row>
    <row r="464" spans="1:53" x14ac:dyDescent="0.25">
      <c r="E464" s="13"/>
      <c r="F464" s="152" t="s">
        <v>115</v>
      </c>
      <c r="G464" s="13" t="s">
        <v>114</v>
      </c>
      <c r="H464" s="192" t="s">
        <v>116</v>
      </c>
      <c r="I464" s="126" t="s">
        <v>113</v>
      </c>
      <c r="J464" s="152" t="s">
        <v>117</v>
      </c>
      <c r="K464" s="193" t="s">
        <v>122</v>
      </c>
      <c r="L464" s="126"/>
      <c r="O464" s="126"/>
      <c r="P464" s="13"/>
      <c r="Q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</row>
    <row r="465" spans="1:53" x14ac:dyDescent="0.25">
      <c r="E465" s="13"/>
      <c r="F465" s="13">
        <f>(G462/(20*C455))*100</f>
        <v>25</v>
      </c>
      <c r="G465" s="13">
        <f>G462*G458</f>
        <v>25</v>
      </c>
      <c r="H465">
        <f>(104.3421 + (9.456889 - 104.3421)/(1 + (G465/39.91202)^3.274503))/C455</f>
        <v>26.320631925290471</v>
      </c>
      <c r="I465" s="126">
        <f>G462/C456</f>
        <v>2.5</v>
      </c>
      <c r="J465" s="13">
        <f>(I465/20)*100</f>
        <v>12.5</v>
      </c>
      <c r="K465" s="13">
        <f>(0.3*F465)+(0.3*H465)+(0.4*J465)</f>
        <v>20.39618957758714</v>
      </c>
      <c r="L465" s="13"/>
      <c r="M465" s="13"/>
      <c r="N465" s="126"/>
      <c r="O465" s="126"/>
      <c r="P465" s="13"/>
      <c r="Q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</row>
    <row r="466" spans="1:53" x14ac:dyDescent="0.25">
      <c r="E466" s="13"/>
      <c r="F466" s="152" t="s">
        <v>115</v>
      </c>
      <c r="G466" s="13" t="s">
        <v>114</v>
      </c>
      <c r="H466" s="192" t="s">
        <v>116</v>
      </c>
      <c r="I466" s="126" t="s">
        <v>113</v>
      </c>
      <c r="J466" s="152" t="s">
        <v>117</v>
      </c>
      <c r="K466" s="193" t="s">
        <v>127</v>
      </c>
      <c r="N466" s="126"/>
      <c r="O466" s="126"/>
      <c r="P466" s="13"/>
      <c r="Q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</row>
    <row r="467" spans="1:53" x14ac:dyDescent="0.25">
      <c r="E467" s="13"/>
      <c r="F467" s="13">
        <f>(I462/(20*C455))*100</f>
        <v>15</v>
      </c>
      <c r="G467" s="13">
        <f>I462*G458</f>
        <v>15</v>
      </c>
      <c r="H467">
        <f>(104.3421 + (9.456889 - 104.3421)/(1 + (G467/39.91202)^3.274503))/C455</f>
        <v>13.157037540933331</v>
      </c>
      <c r="I467" s="126">
        <f>I462/C456</f>
        <v>1.5</v>
      </c>
      <c r="J467" s="13">
        <f>(I467/20)*100</f>
        <v>7.5</v>
      </c>
      <c r="K467" s="13">
        <f>(0.3*F467)+(0.3*H467)+(0.4*J467)</f>
        <v>11.44711126228</v>
      </c>
      <c r="N467" s="126"/>
      <c r="O467" s="126"/>
      <c r="P467" s="13"/>
      <c r="Q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</row>
    <row r="468" spans="1:53" x14ac:dyDescent="0.25">
      <c r="E468" s="13"/>
      <c r="F468" s="152" t="s">
        <v>126</v>
      </c>
      <c r="G468" s="13">
        <f>(C457/5)*100</f>
        <v>20</v>
      </c>
      <c r="I468" s="126"/>
      <c r="J468" s="13"/>
      <c r="K468" s="13"/>
      <c r="N468" s="126"/>
      <c r="O468" s="126"/>
      <c r="P468" s="13"/>
      <c r="Q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</row>
    <row r="469" spans="1:53" x14ac:dyDescent="0.25">
      <c r="E469" s="13"/>
      <c r="F469" s="152" t="s">
        <v>118</v>
      </c>
      <c r="G469" s="13">
        <f>(0.25*K467)+(0.6*K465)+(0.15*G468)</f>
        <v>18.099491562122285</v>
      </c>
      <c r="I469" s="126"/>
      <c r="J469" s="13"/>
      <c r="K469" s="13"/>
      <c r="N469" s="126"/>
      <c r="O469" s="126"/>
      <c r="P469" s="13"/>
      <c r="Q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</row>
    <row r="470" spans="1:53" x14ac:dyDescent="0.25">
      <c r="L470" s="13"/>
      <c r="M470" s="13"/>
      <c r="P470" s="13"/>
      <c r="Q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</row>
    <row r="471" spans="1:53" ht="15.75" thickBot="1" x14ac:dyDescent="0.3">
      <c r="K471" s="126"/>
      <c r="L471" s="13"/>
      <c r="M471" s="13"/>
      <c r="N471" s="126"/>
      <c r="O471" s="126"/>
      <c r="P471" s="13"/>
      <c r="Q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</row>
    <row r="472" spans="1:53" ht="15.75" x14ac:dyDescent="0.25">
      <c r="A472" s="224" t="str">
        <f>References!$F$2</f>
        <v>Name</v>
      </c>
      <c r="B472" s="225"/>
      <c r="C472" s="222" t="s">
        <v>106</v>
      </c>
      <c r="D472" s="223"/>
      <c r="K472" s="126"/>
      <c r="L472" s="13"/>
      <c r="M472" s="13"/>
      <c r="N472" s="126"/>
      <c r="O472" s="126"/>
      <c r="P472" s="13"/>
      <c r="Q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</row>
    <row r="473" spans="1:53" ht="15.75" x14ac:dyDescent="0.25">
      <c r="A473" s="212" t="str">
        <f>References!$F$3</f>
        <v>Class</v>
      </c>
      <c r="B473" s="213"/>
      <c r="C473" s="218" t="str">
        <f>References!$E$11</f>
        <v>Shaman</v>
      </c>
      <c r="D473" s="219"/>
      <c r="K473" s="126"/>
      <c r="L473" s="13"/>
      <c r="M473" s="13"/>
      <c r="N473" s="126"/>
      <c r="O473" s="126"/>
      <c r="P473" s="13"/>
      <c r="Q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</row>
    <row r="474" spans="1:53" ht="15.75" x14ac:dyDescent="0.25">
      <c r="A474" s="212" t="str">
        <f>References!$F$4</f>
        <v>Type</v>
      </c>
      <c r="B474" s="213"/>
      <c r="C474" s="218" t="str">
        <f>References!$B$2</f>
        <v>Offensive</v>
      </c>
      <c r="D474" s="219"/>
      <c r="K474" s="126"/>
      <c r="L474" s="13"/>
      <c r="M474" s="13"/>
      <c r="N474" s="126"/>
      <c r="O474" s="126"/>
      <c r="P474" s="13"/>
      <c r="Q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</row>
    <row r="475" spans="1:53" ht="15.75" x14ac:dyDescent="0.25">
      <c r="A475" s="212" t="str">
        <f>References!$F$5</f>
        <v>Nb. Targets</v>
      </c>
      <c r="B475" s="213"/>
      <c r="C475" s="218">
        <v>3</v>
      </c>
      <c r="D475" s="219"/>
      <c r="K475" s="126"/>
      <c r="L475" s="13"/>
      <c r="M475" s="13"/>
      <c r="N475" s="126"/>
      <c r="O475" s="126"/>
      <c r="P475" s="13"/>
      <c r="Q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</row>
    <row r="476" spans="1:53" ht="16.5" thickBot="1" x14ac:dyDescent="0.3">
      <c r="A476" s="214" t="str">
        <f>References!$F$6</f>
        <v>Energy cost</v>
      </c>
      <c r="B476" s="215"/>
      <c r="C476" s="216">
        <v>1</v>
      </c>
      <c r="D476" s="231"/>
      <c r="E476" s="154"/>
      <c r="F476" s="156"/>
      <c r="G476" s="156"/>
      <c r="H476" s="156"/>
      <c r="I476" s="13"/>
      <c r="K476" s="154"/>
      <c r="L476" s="13"/>
      <c r="M476" s="13"/>
      <c r="N476" s="154"/>
      <c r="O476" s="154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</row>
    <row r="477" spans="1:53" ht="15.75" x14ac:dyDescent="0.25">
      <c r="A477" s="212" t="s">
        <v>111</v>
      </c>
      <c r="B477" s="213"/>
      <c r="C477" s="210">
        <v>2</v>
      </c>
      <c r="D477" s="211"/>
      <c r="E477" s="154"/>
      <c r="F477" s="156"/>
      <c r="G477" s="156"/>
      <c r="H477" s="156"/>
      <c r="I477" s="13"/>
      <c r="K477" s="154"/>
      <c r="L477" s="13"/>
      <c r="M477" s="13"/>
      <c r="N477" s="154"/>
      <c r="O477" s="154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</row>
    <row r="478" spans="1:53" ht="16.5" thickBot="1" x14ac:dyDescent="0.3">
      <c r="A478" s="214" t="s">
        <v>110</v>
      </c>
      <c r="B478" s="215"/>
      <c r="C478" s="208">
        <v>0</v>
      </c>
      <c r="D478" s="230"/>
      <c r="E478" s="154"/>
      <c r="F478" s="13" t="s">
        <v>121</v>
      </c>
      <c r="G478" s="13">
        <f>_xlfn.FLOOR.MATH(10/IF(OR(C476=1,C476=0),2,C476))</f>
        <v>5</v>
      </c>
      <c r="K478" s="154"/>
      <c r="L478" s="13"/>
      <c r="M478" s="13"/>
      <c r="N478" s="154"/>
      <c r="O478" s="154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</row>
    <row r="479" spans="1:53" ht="16.5" thickBot="1" x14ac:dyDescent="0.3">
      <c r="A479" s="133" t="str">
        <f>References!$G$2</f>
        <v>Type</v>
      </c>
      <c r="B479" s="135" t="str">
        <f>References!$G$3</f>
        <v>Stat</v>
      </c>
      <c r="C479" s="146" t="str">
        <f>References!$G$7</f>
        <v>Nb</v>
      </c>
      <c r="D479" s="147" t="str">
        <f>References!$G$8</f>
        <v>Turns</v>
      </c>
      <c r="E479" s="152"/>
      <c r="F479" s="13" t="s">
        <v>119</v>
      </c>
      <c r="G479" s="176" t="s">
        <v>120</v>
      </c>
      <c r="H479" s="13" t="s">
        <v>123</v>
      </c>
      <c r="I479" s="176" t="s">
        <v>124</v>
      </c>
      <c r="L479" s="13"/>
      <c r="M479" s="13"/>
      <c r="P479" s="13"/>
      <c r="Q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</row>
    <row r="480" spans="1:53" ht="16.5" thickBot="1" x14ac:dyDescent="0.3">
      <c r="A480" s="129" t="str">
        <f>References!$C$2</f>
        <v>Direct</v>
      </c>
      <c r="B480" s="139" t="str">
        <f>References!$A$5</f>
        <v>def</v>
      </c>
      <c r="C480" s="144">
        <v>2</v>
      </c>
      <c r="D480" s="145"/>
      <c r="E480" s="13"/>
      <c r="F480" s="13">
        <f>(C480+(1*C478))*C475</f>
        <v>6</v>
      </c>
      <c r="G480">
        <f>IF(D480="",F480,F480*D480)</f>
        <v>6</v>
      </c>
      <c r="H480">
        <f>(C480-(1-C478)*1)*C475</f>
        <v>3</v>
      </c>
      <c r="I480">
        <f>IF(D480="",H480,H480*D480)</f>
        <v>3</v>
      </c>
      <c r="L480" s="13"/>
      <c r="M480" s="13"/>
      <c r="P480" s="13"/>
      <c r="Q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</row>
    <row r="481" spans="1:53" x14ac:dyDescent="0.25">
      <c r="E481" s="13"/>
      <c r="F481" s="13" t="s">
        <v>112</v>
      </c>
      <c r="G481">
        <f>SUM(G480)</f>
        <v>6</v>
      </c>
      <c r="I481" s="13">
        <f>SUM(I480)</f>
        <v>3</v>
      </c>
      <c r="J481" s="13"/>
      <c r="M481" s="13"/>
      <c r="N481" s="13"/>
      <c r="Q481" s="13"/>
      <c r="R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S481" s="13"/>
      <c r="AT481" s="13"/>
      <c r="AU481" s="13"/>
      <c r="AV481" s="13"/>
      <c r="AW481" s="13"/>
      <c r="AX481" s="13"/>
      <c r="AY481" s="13"/>
      <c r="AZ481" s="13"/>
      <c r="BA481" s="13"/>
    </row>
    <row r="482" spans="1:53" x14ac:dyDescent="0.25">
      <c r="E482" s="13"/>
      <c r="F482" s="13"/>
      <c r="G482" s="13"/>
      <c r="H482" s="13"/>
      <c r="I482" s="13"/>
      <c r="K482" s="126"/>
      <c r="L482" s="13"/>
      <c r="M482" s="13"/>
      <c r="N482" s="126"/>
      <c r="O482" s="126"/>
      <c r="P482" s="13"/>
      <c r="Q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</row>
    <row r="483" spans="1:53" x14ac:dyDescent="0.25">
      <c r="E483" s="13"/>
      <c r="F483" s="152" t="s">
        <v>115</v>
      </c>
      <c r="G483" s="13" t="s">
        <v>114</v>
      </c>
      <c r="H483" s="192" t="s">
        <v>116</v>
      </c>
      <c r="I483" s="126" t="s">
        <v>113</v>
      </c>
      <c r="J483" s="152" t="s">
        <v>117</v>
      </c>
      <c r="K483" s="193" t="s">
        <v>122</v>
      </c>
      <c r="L483" s="126"/>
      <c r="O483" s="126"/>
      <c r="P483" s="13"/>
      <c r="Q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</row>
    <row r="484" spans="1:53" x14ac:dyDescent="0.25">
      <c r="E484" s="13"/>
      <c r="F484" s="13"/>
      <c r="G484" s="13"/>
      <c r="H484" s="13"/>
      <c r="I484" s="13"/>
      <c r="K484" s="126"/>
      <c r="L484" s="13"/>
      <c r="M484" s="13"/>
      <c r="N484" s="126"/>
      <c r="O484" s="126"/>
      <c r="P484" s="13"/>
      <c r="Q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</row>
    <row r="485" spans="1:53" x14ac:dyDescent="0.25">
      <c r="E485" s="13"/>
      <c r="F485" s="13">
        <f>(G481/(20*C475))*100</f>
        <v>10</v>
      </c>
      <c r="G485" s="13">
        <f>G481*G478</f>
        <v>30</v>
      </c>
      <c r="H485">
        <f>(104.3421 + (9.456889 - 104.3421)/(1 + (G485/39.91202)^3.274503))/C475</f>
        <v>12.06994937838301</v>
      </c>
      <c r="I485" s="126">
        <f>G481/C476</f>
        <v>6</v>
      </c>
      <c r="J485" s="13">
        <f>(I485/20)*100</f>
        <v>30</v>
      </c>
      <c r="K485" s="13">
        <f>(0.3*F485)+(0.3*H485)+(0.4*J485)</f>
        <v>18.620984813514902</v>
      </c>
      <c r="N485" s="126"/>
      <c r="O485" s="126"/>
      <c r="P485" s="13"/>
      <c r="Q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</row>
    <row r="486" spans="1:53" x14ac:dyDescent="0.25">
      <c r="E486" s="13"/>
      <c r="F486" s="152" t="s">
        <v>115</v>
      </c>
      <c r="G486" s="13" t="s">
        <v>114</v>
      </c>
      <c r="H486" s="192" t="s">
        <v>116</v>
      </c>
      <c r="I486" s="126" t="s">
        <v>113</v>
      </c>
      <c r="J486" s="152" t="s">
        <v>117</v>
      </c>
      <c r="K486" s="193" t="s">
        <v>122</v>
      </c>
      <c r="N486" s="126"/>
      <c r="O486" s="126"/>
      <c r="P486" s="13"/>
      <c r="Q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</row>
    <row r="487" spans="1:53" x14ac:dyDescent="0.25">
      <c r="E487" s="13"/>
      <c r="F487" s="13"/>
      <c r="G487" s="13"/>
      <c r="H487" s="13"/>
      <c r="I487" s="13"/>
      <c r="K487" s="126"/>
      <c r="N487" s="126"/>
      <c r="O487" s="126"/>
      <c r="P487" s="13"/>
      <c r="Q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</row>
    <row r="488" spans="1:53" x14ac:dyDescent="0.25">
      <c r="E488" s="13"/>
      <c r="F488" s="13">
        <f>(I481/(20*C475))*100</f>
        <v>5</v>
      </c>
      <c r="G488" s="13">
        <f>G478*I481</f>
        <v>15</v>
      </c>
      <c r="H488">
        <f>(104.3421 + (9.456889 - 104.3421)/(1 + (G488/39.91202)^3.274503))/C475</f>
        <v>4.3856791803111106</v>
      </c>
      <c r="I488" s="126">
        <f>I481/C476</f>
        <v>3</v>
      </c>
      <c r="J488" s="13">
        <f>(I488/20)*100</f>
        <v>15</v>
      </c>
      <c r="K488" s="13">
        <f>(0.3*F488)+(0.3*H488)+(0.4*J488)</f>
        <v>8.8157037540933327</v>
      </c>
      <c r="N488" s="126"/>
      <c r="O488" s="126"/>
      <c r="P488" s="13"/>
      <c r="Q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</row>
    <row r="489" spans="1:53" x14ac:dyDescent="0.25">
      <c r="E489" s="13"/>
      <c r="F489" s="13" t="s">
        <v>118</v>
      </c>
      <c r="G489" s="13">
        <f>(K485+K488)/2</f>
        <v>13.718344283804118</v>
      </c>
      <c r="I489" s="126"/>
      <c r="J489" s="13"/>
      <c r="K489" s="13"/>
      <c r="N489" s="126"/>
      <c r="O489" s="126"/>
      <c r="P489" s="13"/>
      <c r="Q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</row>
    <row r="490" spans="1:53" x14ac:dyDescent="0.25">
      <c r="E490" s="13"/>
      <c r="F490" s="13"/>
      <c r="G490" s="13"/>
      <c r="H490" s="13"/>
      <c r="I490" s="13"/>
      <c r="L490" s="13"/>
      <c r="M490" s="13"/>
      <c r="P490" s="13"/>
      <c r="Q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</row>
    <row r="491" spans="1:53" ht="15.75" thickBot="1" x14ac:dyDescent="0.3">
      <c r="K491" s="126"/>
      <c r="L491" s="13"/>
      <c r="M491" s="13"/>
      <c r="N491" s="126"/>
      <c r="O491" s="126"/>
      <c r="P491" s="13"/>
      <c r="Q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</row>
    <row r="492" spans="1:53" ht="15.75" x14ac:dyDescent="0.25">
      <c r="A492" s="224" t="str">
        <f>References!$F$2</f>
        <v>Name</v>
      </c>
      <c r="B492" s="225"/>
      <c r="C492" s="222" t="s">
        <v>27</v>
      </c>
      <c r="D492" s="223"/>
      <c r="K492" s="126"/>
      <c r="L492" s="13"/>
      <c r="M492" s="13"/>
      <c r="N492" s="126"/>
      <c r="O492" s="126"/>
      <c r="P492" s="13"/>
      <c r="Q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</row>
    <row r="493" spans="1:53" ht="15.75" x14ac:dyDescent="0.25">
      <c r="A493" s="212" t="str">
        <f>References!$F$3</f>
        <v>Class</v>
      </c>
      <c r="B493" s="213"/>
      <c r="C493" s="218" t="str">
        <f>References!$E$9</f>
        <v>Wizard</v>
      </c>
      <c r="D493" s="219"/>
      <c r="K493" s="126"/>
      <c r="L493" s="13"/>
      <c r="M493" s="13"/>
      <c r="N493" s="126"/>
      <c r="O493" s="126"/>
      <c r="P493" s="13"/>
      <c r="Q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</row>
    <row r="494" spans="1:53" ht="15.75" x14ac:dyDescent="0.25">
      <c r="A494" s="212" t="str">
        <f>References!$F$4</f>
        <v>Type</v>
      </c>
      <c r="B494" s="213"/>
      <c r="C494" s="218" t="str">
        <f>References!$B$2</f>
        <v>Offensive</v>
      </c>
      <c r="D494" s="219"/>
      <c r="K494" s="126"/>
      <c r="L494" s="13"/>
      <c r="M494" s="13"/>
      <c r="N494" s="126"/>
      <c r="O494" s="126"/>
      <c r="P494" s="13"/>
      <c r="Q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</row>
    <row r="495" spans="1:53" ht="15.75" x14ac:dyDescent="0.25">
      <c r="A495" s="212" t="str">
        <f>References!$F$5</f>
        <v>Nb. Targets</v>
      </c>
      <c r="B495" s="213"/>
      <c r="C495" s="218">
        <v>1</v>
      </c>
      <c r="D495" s="219"/>
      <c r="K495" s="126"/>
      <c r="L495" s="13"/>
      <c r="M495" s="13"/>
      <c r="N495" s="126"/>
      <c r="O495" s="126"/>
      <c r="P495" s="13"/>
      <c r="Q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</row>
    <row r="496" spans="1:53" ht="16.5" thickBot="1" x14ac:dyDescent="0.3">
      <c r="A496" s="214" t="str">
        <f>References!$F$6</f>
        <v>Energy cost</v>
      </c>
      <c r="B496" s="215"/>
      <c r="C496" s="216">
        <v>2</v>
      </c>
      <c r="D496" s="217"/>
      <c r="E496" s="154"/>
      <c r="F496" s="156"/>
      <c r="G496" s="156"/>
      <c r="H496" s="156"/>
      <c r="I496" s="13"/>
      <c r="K496" s="154"/>
      <c r="L496" s="13"/>
      <c r="M496" s="13"/>
      <c r="N496" s="154"/>
      <c r="O496" s="154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</row>
    <row r="497" spans="1:53" ht="15.75" x14ac:dyDescent="0.25">
      <c r="A497" s="212" t="s">
        <v>111</v>
      </c>
      <c r="B497" s="213"/>
      <c r="C497" s="210">
        <v>2</v>
      </c>
      <c r="D497" s="211"/>
      <c r="E497" s="154"/>
      <c r="F497" s="156"/>
      <c r="G497" s="156"/>
      <c r="H497" s="156"/>
      <c r="I497" s="13"/>
      <c r="K497" s="154"/>
      <c r="L497" s="13"/>
      <c r="M497" s="13"/>
      <c r="N497" s="154"/>
      <c r="O497" s="154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</row>
    <row r="498" spans="1:53" ht="16.5" thickBot="1" x14ac:dyDescent="0.3">
      <c r="A498" s="214" t="s">
        <v>110</v>
      </c>
      <c r="B498" s="215"/>
      <c r="C498" s="208">
        <v>0</v>
      </c>
      <c r="D498" s="230"/>
      <c r="E498" s="154"/>
      <c r="F498" s="156"/>
      <c r="G498" s="156"/>
      <c r="H498" s="156"/>
      <c r="I498" s="13"/>
      <c r="K498" s="154"/>
      <c r="L498" s="13"/>
      <c r="M498" s="13"/>
      <c r="N498" s="154"/>
      <c r="O498" s="154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</row>
    <row r="499" spans="1:53" ht="16.5" thickBot="1" x14ac:dyDescent="0.3">
      <c r="A499" s="133" t="str">
        <f>References!$G$2</f>
        <v>Type</v>
      </c>
      <c r="B499" s="135" t="str">
        <f>References!$G$3</f>
        <v>Stat</v>
      </c>
      <c r="C499" s="146" t="str">
        <f>References!$G$7</f>
        <v>Nb</v>
      </c>
      <c r="D499" s="147" t="str">
        <f>References!$G$8</f>
        <v>Turns</v>
      </c>
      <c r="E499" s="152"/>
      <c r="F499" s="152"/>
      <c r="G499" s="155"/>
      <c r="H499" s="155"/>
      <c r="I499" s="13"/>
      <c r="L499" s="13"/>
      <c r="M499" s="13"/>
      <c r="P499" s="13"/>
      <c r="Q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</row>
    <row r="500" spans="1:53" ht="16.5" thickBot="1" x14ac:dyDescent="0.3">
      <c r="A500" s="129" t="str">
        <f>References!$C$2</f>
        <v>Direct</v>
      </c>
      <c r="B500" s="139" t="str">
        <f>References!$A$2</f>
        <v>dmg</v>
      </c>
      <c r="C500" s="141">
        <v>4</v>
      </c>
      <c r="D500" s="175"/>
      <c r="E500" s="13"/>
      <c r="F500" s="156"/>
      <c r="G500" s="154"/>
      <c r="H500" s="154"/>
      <c r="I500" s="13"/>
      <c r="L500" s="13"/>
      <c r="M500" s="13"/>
      <c r="P500" s="13"/>
      <c r="Q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</row>
    <row r="501" spans="1:53" ht="16.5" thickBot="1" x14ac:dyDescent="0.3">
      <c r="A501" s="129" t="str">
        <f>References!$C$3</f>
        <v>Temp</v>
      </c>
      <c r="B501" s="139" t="s">
        <v>128</v>
      </c>
      <c r="C501" s="144">
        <v>-2</v>
      </c>
      <c r="D501" s="142">
        <v>1</v>
      </c>
      <c r="E501" s="13"/>
      <c r="F501" s="13"/>
      <c r="G501" s="154"/>
      <c r="H501" s="154"/>
      <c r="I501" s="13"/>
      <c r="L501" s="13"/>
      <c r="M501" s="13"/>
      <c r="P501" s="13"/>
      <c r="Q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</row>
    <row r="502" spans="1:53" x14ac:dyDescent="0.25">
      <c r="L502" s="13"/>
      <c r="M502" s="13"/>
      <c r="P502" s="13"/>
      <c r="Q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</row>
    <row r="503" spans="1:53" ht="15.75" thickBot="1" x14ac:dyDescent="0.3">
      <c r="K503" s="126"/>
      <c r="L503" s="13"/>
      <c r="M503" s="13"/>
      <c r="N503" s="126"/>
      <c r="O503" s="126"/>
      <c r="P503" s="13"/>
      <c r="Q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</row>
    <row r="504" spans="1:53" ht="15.75" x14ac:dyDescent="0.25">
      <c r="A504" s="224" t="str">
        <f>References!$F$2</f>
        <v>Name</v>
      </c>
      <c r="B504" s="225"/>
      <c r="C504" s="222" t="s">
        <v>107</v>
      </c>
      <c r="D504" s="223"/>
      <c r="K504" s="126"/>
      <c r="L504" s="13"/>
      <c r="M504" s="13"/>
      <c r="N504" s="126"/>
      <c r="O504" s="126"/>
      <c r="P504" s="13"/>
      <c r="Q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</row>
    <row r="505" spans="1:53" ht="15.75" x14ac:dyDescent="0.25">
      <c r="A505" s="212" t="str">
        <f>References!$F$3</f>
        <v>Class</v>
      </c>
      <c r="B505" s="213"/>
      <c r="C505" s="218" t="str">
        <f>References!$E$9</f>
        <v>Wizard</v>
      </c>
      <c r="D505" s="219"/>
      <c r="K505" s="126"/>
      <c r="L505" s="13"/>
      <c r="M505" s="13"/>
      <c r="N505" s="126"/>
      <c r="O505" s="126"/>
      <c r="P505" s="13"/>
      <c r="Q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</row>
    <row r="506" spans="1:53" ht="15.75" x14ac:dyDescent="0.25">
      <c r="A506" s="212" t="str">
        <f>References!$F$4</f>
        <v>Type</v>
      </c>
      <c r="B506" s="213"/>
      <c r="C506" s="218" t="str">
        <f>References!$B$2</f>
        <v>Offensive</v>
      </c>
      <c r="D506" s="219"/>
      <c r="K506" s="126"/>
      <c r="L506" s="13"/>
      <c r="M506" s="13"/>
      <c r="N506" s="126"/>
      <c r="O506" s="126"/>
      <c r="P506" s="13"/>
      <c r="Q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</row>
    <row r="507" spans="1:53" ht="15.75" x14ac:dyDescent="0.25">
      <c r="A507" s="212" t="str">
        <f>References!$F$5</f>
        <v>Nb. Targets</v>
      </c>
      <c r="B507" s="213"/>
      <c r="C507" s="218">
        <v>1</v>
      </c>
      <c r="D507" s="219"/>
      <c r="K507" s="126"/>
      <c r="L507" s="13"/>
      <c r="M507" s="13"/>
      <c r="N507" s="126"/>
      <c r="O507" s="126"/>
      <c r="P507" s="13"/>
      <c r="Q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</row>
    <row r="508" spans="1:53" ht="16.5" thickBot="1" x14ac:dyDescent="0.3">
      <c r="A508" s="214" t="str">
        <f>References!$F$6</f>
        <v>Energy cost</v>
      </c>
      <c r="B508" s="215"/>
      <c r="C508" s="216">
        <v>3</v>
      </c>
      <c r="D508" s="217"/>
      <c r="E508" s="154"/>
      <c r="F508" s="156"/>
      <c r="G508" s="156"/>
      <c r="H508" s="156"/>
      <c r="I508" s="13"/>
      <c r="K508" s="154"/>
      <c r="L508" s="13"/>
      <c r="M508" s="13"/>
      <c r="N508" s="154"/>
      <c r="O508" s="154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</row>
    <row r="509" spans="1:53" ht="15.75" x14ac:dyDescent="0.25">
      <c r="A509" s="212" t="s">
        <v>111</v>
      </c>
      <c r="B509" s="213"/>
      <c r="C509" s="210">
        <v>2</v>
      </c>
      <c r="D509" s="211"/>
      <c r="E509" s="154"/>
      <c r="F509" s="156"/>
      <c r="G509" s="156"/>
      <c r="H509" s="156"/>
      <c r="I509" s="13"/>
      <c r="K509" s="154"/>
      <c r="L509" s="13"/>
      <c r="M509" s="13"/>
      <c r="N509" s="154"/>
      <c r="O509" s="154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</row>
    <row r="510" spans="1:53" ht="16.5" thickBot="1" x14ac:dyDescent="0.3">
      <c r="A510" s="214" t="s">
        <v>110</v>
      </c>
      <c r="B510" s="215"/>
      <c r="C510" s="208">
        <v>0</v>
      </c>
      <c r="D510" s="230"/>
      <c r="E510" s="154"/>
      <c r="F510" s="156"/>
      <c r="G510" s="156"/>
      <c r="H510" s="156"/>
      <c r="I510" s="13"/>
      <c r="K510" s="154"/>
      <c r="L510" s="13"/>
      <c r="M510" s="13"/>
      <c r="N510" s="154"/>
      <c r="O510" s="154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</row>
    <row r="511" spans="1:53" ht="16.5" thickBot="1" x14ac:dyDescent="0.3">
      <c r="A511" s="133" t="str">
        <f>References!$G$2</f>
        <v>Type</v>
      </c>
      <c r="B511" s="135" t="str">
        <f>References!$G$3</f>
        <v>Stat</v>
      </c>
      <c r="C511" s="146" t="str">
        <f>References!$G$7</f>
        <v>Nb</v>
      </c>
      <c r="D511" s="147" t="str">
        <f>References!$G$8</f>
        <v>Turns</v>
      </c>
      <c r="E511" s="152"/>
      <c r="F511" s="152"/>
      <c r="G511" s="155"/>
      <c r="H511" s="155"/>
      <c r="L511" s="13"/>
      <c r="M511" s="13"/>
      <c r="P511" s="13"/>
      <c r="Q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</row>
    <row r="512" spans="1:53" ht="16.5" thickBot="1" x14ac:dyDescent="0.3">
      <c r="A512" s="129" t="str">
        <f>References!$C$2</f>
        <v>Direct</v>
      </c>
      <c r="B512" s="143" t="str">
        <f>References!$A$2</f>
        <v>dmg</v>
      </c>
      <c r="C512" s="141">
        <v>10</v>
      </c>
      <c r="D512" s="175"/>
      <c r="E512" s="13"/>
      <c r="F512" s="156"/>
      <c r="G512" s="154"/>
      <c r="H512" s="154"/>
      <c r="L512" s="13"/>
      <c r="M512" s="13"/>
      <c r="P512" s="13"/>
      <c r="Q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</row>
    <row r="513" spans="1:53" x14ac:dyDescent="0.25">
      <c r="L513" s="13"/>
      <c r="M513" s="13"/>
      <c r="P513" s="13"/>
      <c r="Q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</row>
    <row r="514" spans="1:53" ht="15.75" thickBot="1" x14ac:dyDescent="0.3">
      <c r="K514" s="126"/>
      <c r="L514" s="13"/>
      <c r="M514" s="13"/>
      <c r="N514" s="126"/>
      <c r="O514" s="126"/>
      <c r="P514" s="13"/>
      <c r="Q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</row>
    <row r="515" spans="1:53" ht="15.75" x14ac:dyDescent="0.25">
      <c r="A515" s="224" t="str">
        <f>References!$F$2</f>
        <v>Name</v>
      </c>
      <c r="B515" s="225"/>
      <c r="C515" s="222" t="s">
        <v>42</v>
      </c>
      <c r="D515" s="223"/>
      <c r="K515" s="126"/>
      <c r="L515" s="13"/>
      <c r="M515" s="13"/>
      <c r="N515" s="126"/>
      <c r="O515" s="126"/>
      <c r="P515" s="13"/>
      <c r="Q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</row>
    <row r="516" spans="1:53" ht="15.75" x14ac:dyDescent="0.25">
      <c r="A516" s="212" t="str">
        <f>References!$F$3</f>
        <v>Class</v>
      </c>
      <c r="B516" s="213"/>
      <c r="C516" s="218" t="str">
        <f>References!$E$10</f>
        <v>Leech</v>
      </c>
      <c r="D516" s="219"/>
      <c r="K516" s="126"/>
      <c r="L516" s="13"/>
      <c r="M516" s="13"/>
      <c r="N516" s="126"/>
      <c r="O516" s="126"/>
      <c r="P516" s="13"/>
      <c r="Q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</row>
    <row r="517" spans="1:53" ht="15.75" x14ac:dyDescent="0.25">
      <c r="A517" s="212" t="str">
        <f>References!$F$4</f>
        <v>Type</v>
      </c>
      <c r="B517" s="213"/>
      <c r="C517" s="218" t="str">
        <f>References!$B$2</f>
        <v>Offensive</v>
      </c>
      <c r="D517" s="219"/>
      <c r="K517" s="126"/>
      <c r="L517" s="13"/>
      <c r="M517" s="13"/>
      <c r="N517" s="126"/>
      <c r="O517" s="126"/>
      <c r="P517" s="13"/>
      <c r="Q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</row>
    <row r="518" spans="1:53" ht="15.75" x14ac:dyDescent="0.25">
      <c r="A518" s="212" t="str">
        <f>References!$F$5</f>
        <v>Nb. Targets</v>
      </c>
      <c r="B518" s="213"/>
      <c r="C518" s="218">
        <v>1</v>
      </c>
      <c r="D518" s="219"/>
      <c r="K518" s="126"/>
      <c r="L518" s="13"/>
      <c r="M518" s="13"/>
      <c r="N518" s="126"/>
      <c r="O518" s="126"/>
      <c r="P518" s="13"/>
      <c r="Q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</row>
    <row r="519" spans="1:53" ht="16.5" thickBot="1" x14ac:dyDescent="0.3">
      <c r="A519" s="214" t="str">
        <f>References!$F$6</f>
        <v>Energy cost</v>
      </c>
      <c r="B519" s="215"/>
      <c r="C519" s="216">
        <v>3</v>
      </c>
      <c r="D519" s="217"/>
      <c r="E519" s="154"/>
      <c r="F519" s="156"/>
      <c r="G519" s="156"/>
      <c r="H519" s="156"/>
      <c r="I519" s="13"/>
      <c r="K519" s="154"/>
      <c r="L519" s="13"/>
      <c r="M519" s="13"/>
      <c r="N519" s="154"/>
      <c r="O519" s="154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</row>
    <row r="520" spans="1:53" ht="15.75" x14ac:dyDescent="0.25">
      <c r="A520" s="212" t="s">
        <v>111</v>
      </c>
      <c r="B520" s="213"/>
      <c r="C520" s="210">
        <v>2</v>
      </c>
      <c r="D520" s="211"/>
      <c r="E520" s="154"/>
      <c r="F520" s="156"/>
      <c r="G520" s="156"/>
      <c r="H520" s="156"/>
      <c r="I520" s="13"/>
      <c r="K520" s="154"/>
      <c r="L520" s="13"/>
      <c r="M520" s="13"/>
      <c r="N520" s="154"/>
      <c r="O520" s="154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</row>
    <row r="521" spans="1:53" ht="16.5" thickBot="1" x14ac:dyDescent="0.3">
      <c r="A521" s="214" t="s">
        <v>110</v>
      </c>
      <c r="B521" s="215"/>
      <c r="C521" s="208">
        <v>0</v>
      </c>
      <c r="D521" s="230"/>
      <c r="E521" s="154"/>
      <c r="F521" s="156"/>
      <c r="G521" s="156"/>
      <c r="H521" s="156"/>
      <c r="I521" s="13"/>
      <c r="K521" s="154"/>
      <c r="L521" s="13"/>
      <c r="M521" s="13"/>
      <c r="N521" s="154"/>
      <c r="O521" s="154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</row>
    <row r="522" spans="1:53" ht="16.5" thickBot="1" x14ac:dyDescent="0.3">
      <c r="A522" s="133" t="str">
        <f>References!$G$2</f>
        <v>Type</v>
      </c>
      <c r="B522" s="135" t="str">
        <f>References!$G$3</f>
        <v>Stat</v>
      </c>
      <c r="C522" s="146" t="str">
        <f>References!$G$7</f>
        <v>Nb</v>
      </c>
      <c r="D522" s="147" t="str">
        <f>References!$G$8</f>
        <v>Turns</v>
      </c>
      <c r="E522" s="152"/>
      <c r="F522" s="152"/>
      <c r="G522" s="155"/>
      <c r="H522" s="155"/>
      <c r="L522" s="13"/>
      <c r="M522" s="13"/>
      <c r="P522" s="13"/>
      <c r="Q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</row>
    <row r="523" spans="1:53" ht="16.5" thickBot="1" x14ac:dyDescent="0.3">
      <c r="A523" s="127" t="str">
        <f>References!$C$2</f>
        <v>Direct</v>
      </c>
      <c r="B523" s="143" t="str">
        <f>References!$A$2</f>
        <v>dmg</v>
      </c>
      <c r="C523" s="144">
        <v>9</v>
      </c>
      <c r="D523" s="145"/>
      <c r="E523" s="13"/>
      <c r="F523" s="156"/>
      <c r="G523" s="154"/>
      <c r="H523" s="154"/>
      <c r="L523" s="13"/>
      <c r="M523" s="13"/>
      <c r="P523" s="13"/>
      <c r="Q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</row>
    <row r="524" spans="1:53" ht="16.5" thickBot="1" x14ac:dyDescent="0.3">
      <c r="A524" s="127" t="str">
        <f>References!$C$4</f>
        <v>SelfDirect</v>
      </c>
      <c r="B524" s="143" t="str">
        <f>References!$A$3</f>
        <v>hp</v>
      </c>
      <c r="C524" s="141">
        <v>-3</v>
      </c>
      <c r="D524" s="145"/>
      <c r="E524" s="13"/>
      <c r="F524" s="156"/>
      <c r="G524" s="154"/>
      <c r="H524" s="154"/>
      <c r="L524" s="13"/>
      <c r="M524" s="13"/>
      <c r="P524" s="13"/>
      <c r="Q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</row>
    <row r="525" spans="1:53" x14ac:dyDescent="0.25">
      <c r="L525" s="13"/>
      <c r="M525" s="13"/>
      <c r="P525" s="13"/>
      <c r="Q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</row>
    <row r="526" spans="1:53" ht="15.75" thickBot="1" x14ac:dyDescent="0.3">
      <c r="K526" s="126"/>
      <c r="L526" s="13"/>
      <c r="M526" s="13"/>
      <c r="N526" s="126"/>
      <c r="O526" s="126"/>
      <c r="P526" s="13"/>
      <c r="Q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</row>
    <row r="527" spans="1:53" ht="15.75" x14ac:dyDescent="0.25">
      <c r="A527" s="224" t="str">
        <f>References!$F$2</f>
        <v>Name</v>
      </c>
      <c r="B527" s="225"/>
      <c r="C527" s="222" t="s">
        <v>109</v>
      </c>
      <c r="D527" s="223"/>
      <c r="K527" s="126"/>
      <c r="L527" s="13"/>
      <c r="M527" s="13"/>
      <c r="N527" s="126"/>
      <c r="O527" s="126"/>
      <c r="P527" s="13"/>
      <c r="Q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</row>
    <row r="528" spans="1:53" ht="15.75" x14ac:dyDescent="0.25">
      <c r="A528" s="212" t="str">
        <f>References!$F$3</f>
        <v>Class</v>
      </c>
      <c r="B528" s="213"/>
      <c r="C528" s="218" t="str">
        <f>References!$E$10</f>
        <v>Leech</v>
      </c>
      <c r="D528" s="219"/>
      <c r="K528" s="126"/>
      <c r="L528" s="13"/>
      <c r="M528" s="13"/>
      <c r="N528" s="126"/>
      <c r="O528" s="126"/>
      <c r="P528" s="13"/>
      <c r="Q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</row>
    <row r="529" spans="1:53" ht="15.75" x14ac:dyDescent="0.25">
      <c r="A529" s="212" t="str">
        <f>References!$F$4</f>
        <v>Type</v>
      </c>
      <c r="B529" s="213"/>
      <c r="C529" s="218" t="str">
        <f>References!$B$3</f>
        <v>Defensive</v>
      </c>
      <c r="D529" s="219"/>
      <c r="K529" s="126"/>
      <c r="L529" s="13"/>
      <c r="M529" s="13"/>
      <c r="N529" s="126"/>
      <c r="O529" s="126"/>
      <c r="P529" s="13"/>
      <c r="Q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</row>
    <row r="530" spans="1:53" ht="15.75" x14ac:dyDescent="0.25">
      <c r="A530" s="212" t="str">
        <f>References!$F$5</f>
        <v>Nb. Targets</v>
      </c>
      <c r="B530" s="213"/>
      <c r="C530" s="218">
        <v>1</v>
      </c>
      <c r="D530" s="219"/>
      <c r="K530" s="126"/>
      <c r="L530" s="13"/>
      <c r="M530" s="13"/>
      <c r="N530" s="126"/>
      <c r="O530" s="126"/>
      <c r="P530" s="13"/>
      <c r="Q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</row>
    <row r="531" spans="1:53" ht="16.5" thickBot="1" x14ac:dyDescent="0.3">
      <c r="A531" s="214" t="str">
        <f>References!$F$6</f>
        <v>Energy cost</v>
      </c>
      <c r="B531" s="215"/>
      <c r="C531" s="216">
        <v>3</v>
      </c>
      <c r="D531" s="217"/>
      <c r="E531" s="154"/>
      <c r="F531" s="156"/>
      <c r="G531" s="156"/>
      <c r="H531" s="156"/>
      <c r="I531" s="13"/>
      <c r="K531" s="154"/>
      <c r="L531" s="13"/>
      <c r="M531" s="13"/>
      <c r="N531" s="154"/>
      <c r="O531" s="154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</row>
    <row r="532" spans="1:53" ht="15.75" x14ac:dyDescent="0.25">
      <c r="A532" s="212" t="s">
        <v>111</v>
      </c>
      <c r="B532" s="213"/>
      <c r="C532" s="210">
        <v>2</v>
      </c>
      <c r="D532" s="211"/>
      <c r="E532" s="154"/>
      <c r="F532" s="156"/>
      <c r="G532" s="156"/>
      <c r="H532" s="156"/>
      <c r="I532" s="13"/>
      <c r="K532" s="154"/>
      <c r="L532" s="13"/>
      <c r="M532" s="13"/>
      <c r="N532" s="154"/>
      <c r="O532" s="154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</row>
    <row r="533" spans="1:53" ht="16.5" thickBot="1" x14ac:dyDescent="0.3">
      <c r="A533" s="214" t="s">
        <v>110</v>
      </c>
      <c r="B533" s="215"/>
      <c r="C533" s="208">
        <v>0</v>
      </c>
      <c r="D533" s="230"/>
      <c r="E533" s="154"/>
      <c r="F533" s="156"/>
      <c r="G533" s="156"/>
      <c r="H533" s="156"/>
      <c r="I533" s="13"/>
      <c r="K533" s="154"/>
      <c r="L533" s="13"/>
      <c r="M533" s="13"/>
      <c r="N533" s="154"/>
      <c r="O533" s="154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</row>
    <row r="534" spans="1:53" ht="16.5" thickBot="1" x14ac:dyDescent="0.3">
      <c r="A534" s="133" t="str">
        <f>References!$G$2</f>
        <v>Type</v>
      </c>
      <c r="B534" s="135" t="str">
        <f>References!$G$3</f>
        <v>Stat</v>
      </c>
      <c r="C534" s="146" t="str">
        <f>References!$G$7</f>
        <v>Nb</v>
      </c>
      <c r="D534" s="147" t="str">
        <f>References!$G$8</f>
        <v>Turns</v>
      </c>
      <c r="E534" s="152"/>
      <c r="F534" s="152"/>
      <c r="G534" s="155"/>
      <c r="H534" s="155"/>
      <c r="L534" s="13"/>
      <c r="M534" s="13"/>
      <c r="P534" s="13"/>
      <c r="Q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</row>
    <row r="535" spans="1:53" ht="16.5" thickBot="1" x14ac:dyDescent="0.3">
      <c r="A535" s="127" t="str">
        <f>References!$C$2</f>
        <v>Direct</v>
      </c>
      <c r="B535" s="143" t="str">
        <f>References!$A$2</f>
        <v>dmg</v>
      </c>
      <c r="C535" s="144">
        <v>3</v>
      </c>
      <c r="D535" s="145"/>
      <c r="E535" s="13"/>
      <c r="F535" s="156"/>
      <c r="G535" s="154"/>
      <c r="H535" s="154"/>
      <c r="L535" s="13"/>
      <c r="M535" s="13"/>
      <c r="P535" s="13"/>
      <c r="Q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</row>
    <row r="536" spans="1:53" ht="16.5" thickBot="1" x14ac:dyDescent="0.3">
      <c r="A536" s="127" t="str">
        <f>References!$C$2</f>
        <v>Direct</v>
      </c>
      <c r="B536" s="143" t="str">
        <f>References!$A$4</f>
        <v>enrg</v>
      </c>
      <c r="C536" s="141">
        <v>2</v>
      </c>
      <c r="D536" s="145"/>
      <c r="E536" s="13"/>
      <c r="F536" s="156"/>
      <c r="G536" s="154"/>
      <c r="H536" s="154"/>
      <c r="L536" s="13"/>
      <c r="M536" s="13"/>
      <c r="P536" s="13"/>
      <c r="Q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</row>
    <row r="537" spans="1:53" x14ac:dyDescent="0.25">
      <c r="L537" s="13"/>
      <c r="M537" s="13"/>
      <c r="P537" s="13"/>
      <c r="Q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</row>
    <row r="538" spans="1:53" ht="15.75" thickBot="1" x14ac:dyDescent="0.3">
      <c r="K538" s="126"/>
      <c r="L538" s="13"/>
      <c r="M538" s="13"/>
      <c r="N538" s="126"/>
      <c r="O538" s="126"/>
      <c r="P538" s="13"/>
      <c r="Q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</row>
    <row r="539" spans="1:53" ht="15.75" x14ac:dyDescent="0.25">
      <c r="A539" s="224" t="str">
        <f>References!$F$2</f>
        <v>Name</v>
      </c>
      <c r="B539" s="225"/>
      <c r="C539" s="222" t="s">
        <v>38</v>
      </c>
      <c r="D539" s="223"/>
      <c r="K539" s="126"/>
      <c r="L539" s="13"/>
      <c r="M539" s="13"/>
      <c r="N539" s="126"/>
      <c r="O539" s="126"/>
      <c r="P539" s="13"/>
      <c r="Q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</row>
    <row r="540" spans="1:53" ht="15.75" x14ac:dyDescent="0.25">
      <c r="A540" s="212" t="str">
        <f>References!$F$3</f>
        <v>Class</v>
      </c>
      <c r="B540" s="213"/>
      <c r="C540" s="218" t="str">
        <f>References!$E$11</f>
        <v>Shaman</v>
      </c>
      <c r="D540" s="219"/>
      <c r="K540" s="126"/>
      <c r="L540" s="13"/>
      <c r="M540" s="13"/>
      <c r="N540" s="126"/>
      <c r="O540" s="126"/>
      <c r="P540" s="13"/>
      <c r="Q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</row>
    <row r="541" spans="1:53" ht="15.75" x14ac:dyDescent="0.25">
      <c r="A541" s="212" t="str">
        <f>References!$F$4</f>
        <v>Type</v>
      </c>
      <c r="B541" s="213"/>
      <c r="C541" s="218" t="str">
        <f>References!$B$2</f>
        <v>Offensive</v>
      </c>
      <c r="D541" s="219"/>
      <c r="K541" s="126"/>
      <c r="L541" s="13"/>
      <c r="M541" s="13"/>
      <c r="N541" s="126"/>
      <c r="O541" s="126"/>
      <c r="P541" s="13"/>
      <c r="Q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</row>
    <row r="542" spans="1:53" ht="15.75" x14ac:dyDescent="0.25">
      <c r="A542" s="212" t="str">
        <f>References!$F$5</f>
        <v>Nb. Targets</v>
      </c>
      <c r="B542" s="213"/>
      <c r="C542" s="218">
        <v>1</v>
      </c>
      <c r="D542" s="219"/>
      <c r="K542" s="126"/>
      <c r="L542" s="13"/>
      <c r="M542" s="13"/>
      <c r="N542" s="126"/>
      <c r="O542" s="126"/>
      <c r="P542" s="13"/>
      <c r="Q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</row>
    <row r="543" spans="1:53" ht="16.5" thickBot="1" x14ac:dyDescent="0.3">
      <c r="A543" s="214" t="str">
        <f>References!$F$6</f>
        <v>Energy cost</v>
      </c>
      <c r="B543" s="215"/>
      <c r="C543" s="216">
        <v>3</v>
      </c>
      <c r="D543" s="217"/>
      <c r="E543" s="154"/>
      <c r="F543" s="156"/>
      <c r="G543" s="156"/>
      <c r="H543" s="156"/>
      <c r="I543" s="13"/>
      <c r="K543" s="154"/>
      <c r="L543" s="13"/>
      <c r="M543" s="13"/>
      <c r="N543" s="154"/>
      <c r="O543" s="154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</row>
    <row r="544" spans="1:53" ht="15.75" x14ac:dyDescent="0.25">
      <c r="A544" s="212" t="s">
        <v>111</v>
      </c>
      <c r="B544" s="213"/>
      <c r="C544" s="210">
        <v>2</v>
      </c>
      <c r="D544" s="211"/>
      <c r="E544" s="154"/>
      <c r="F544" s="156"/>
      <c r="G544" s="156"/>
      <c r="H544" s="156"/>
      <c r="I544" s="13"/>
      <c r="K544" s="154"/>
      <c r="L544" s="13"/>
      <c r="M544" s="13"/>
      <c r="N544" s="154"/>
      <c r="O544" s="154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</row>
    <row r="545" spans="1:53" ht="16.5" thickBot="1" x14ac:dyDescent="0.3">
      <c r="A545" s="214" t="s">
        <v>110</v>
      </c>
      <c r="B545" s="215"/>
      <c r="C545" s="208">
        <v>0</v>
      </c>
      <c r="D545" s="230"/>
      <c r="E545" s="154"/>
      <c r="F545" s="156"/>
      <c r="G545" s="156"/>
      <c r="H545" s="156"/>
      <c r="I545" s="13"/>
      <c r="K545" s="154"/>
      <c r="L545" s="13"/>
      <c r="M545" s="13"/>
      <c r="N545" s="154"/>
      <c r="O545" s="154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</row>
    <row r="546" spans="1:53" ht="16.5" thickBot="1" x14ac:dyDescent="0.3">
      <c r="A546" s="133" t="str">
        <f>References!$G$2</f>
        <v>Type</v>
      </c>
      <c r="B546" s="135" t="str">
        <f>References!$G$3</f>
        <v>Stat</v>
      </c>
      <c r="C546" s="146" t="str">
        <f>References!$G$7</f>
        <v>Nb</v>
      </c>
      <c r="D546" s="147" t="str">
        <f>References!$G$8</f>
        <v>Turns</v>
      </c>
      <c r="E546" s="152"/>
      <c r="F546" s="152"/>
      <c r="G546" s="155"/>
      <c r="H546" s="155"/>
      <c r="L546" s="13"/>
      <c r="M546" s="13"/>
      <c r="P546" s="13"/>
      <c r="Q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</row>
    <row r="547" spans="1:53" ht="16.5" thickBot="1" x14ac:dyDescent="0.3">
      <c r="A547" s="129" t="str">
        <f>References!$C$2</f>
        <v>Direct</v>
      </c>
      <c r="B547" s="139" t="str">
        <f>References!$A$2</f>
        <v>dmg</v>
      </c>
      <c r="C547" s="141">
        <v>3</v>
      </c>
      <c r="D547" s="175"/>
      <c r="E547" s="13"/>
      <c r="F547" s="156"/>
      <c r="G547" s="154"/>
      <c r="H547" s="154"/>
      <c r="L547" s="13"/>
      <c r="M547" s="13"/>
      <c r="P547" s="13"/>
      <c r="Q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</row>
    <row r="548" spans="1:53" ht="16.5" thickBot="1" x14ac:dyDescent="0.3">
      <c r="A548" s="127" t="str">
        <f>References!$C$2</f>
        <v>Direct</v>
      </c>
      <c r="B548" s="143" t="str">
        <f>References!$A$8</f>
        <v>stun</v>
      </c>
      <c r="C548" s="141">
        <v>1</v>
      </c>
      <c r="D548" s="145"/>
      <c r="E548" s="13"/>
      <c r="F548" s="156"/>
      <c r="G548" s="154"/>
      <c r="H548" s="154"/>
      <c r="L548" s="13"/>
      <c r="M548" s="13"/>
      <c r="P548" s="13"/>
      <c r="Q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</row>
    <row r="549" spans="1:53" x14ac:dyDescent="0.25">
      <c r="L549" s="13"/>
      <c r="M549" s="13"/>
      <c r="P549" s="13"/>
      <c r="Q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</row>
    <row r="550" spans="1:53" ht="15.75" thickBot="1" x14ac:dyDescent="0.3">
      <c r="K550" s="126"/>
      <c r="L550" s="13"/>
      <c r="M550" s="13"/>
      <c r="N550" s="126"/>
      <c r="O550" s="126"/>
      <c r="P550" s="13"/>
      <c r="Q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</row>
    <row r="551" spans="1:53" ht="15.75" x14ac:dyDescent="0.25">
      <c r="A551" s="224" t="str">
        <f>References!$F$2</f>
        <v>Name</v>
      </c>
      <c r="B551" s="225"/>
      <c r="C551" s="222" t="s">
        <v>108</v>
      </c>
      <c r="D551" s="223"/>
      <c r="K551" s="126"/>
      <c r="L551" s="13"/>
      <c r="M551" s="13"/>
      <c r="N551" s="126"/>
      <c r="O551" s="126"/>
      <c r="P551" s="13"/>
      <c r="Q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</row>
    <row r="552" spans="1:53" ht="15.75" x14ac:dyDescent="0.25">
      <c r="A552" s="212" t="str">
        <f>References!$F$3</f>
        <v>Class</v>
      </c>
      <c r="B552" s="213"/>
      <c r="C552" s="218" t="str">
        <f>References!$E$11</f>
        <v>Shaman</v>
      </c>
      <c r="D552" s="219"/>
      <c r="K552" s="126"/>
      <c r="L552" s="13"/>
      <c r="M552" s="13"/>
      <c r="N552" s="126"/>
      <c r="O552" s="126"/>
      <c r="P552" s="13"/>
      <c r="Q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</row>
    <row r="553" spans="1:53" ht="15.75" x14ac:dyDescent="0.25">
      <c r="A553" s="212" t="str">
        <f>References!$F$4</f>
        <v>Type</v>
      </c>
      <c r="B553" s="213"/>
      <c r="C553" s="218" t="str">
        <f>References!$B$3</f>
        <v>Defensive</v>
      </c>
      <c r="D553" s="219"/>
      <c r="K553" s="126"/>
      <c r="L553" s="13"/>
      <c r="M553" s="13"/>
      <c r="N553" s="126"/>
      <c r="O553" s="126"/>
      <c r="P553" s="13"/>
      <c r="Q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</row>
    <row r="554" spans="1:53" ht="15.75" x14ac:dyDescent="0.25">
      <c r="A554" s="212" t="str">
        <f>References!$F$5</f>
        <v>Nb. Targets</v>
      </c>
      <c r="B554" s="213"/>
      <c r="C554" s="218">
        <v>1</v>
      </c>
      <c r="D554" s="219"/>
      <c r="K554" s="126"/>
      <c r="L554" s="13"/>
      <c r="M554" s="13"/>
      <c r="N554" s="126"/>
      <c r="O554" s="126"/>
      <c r="P554" s="13"/>
      <c r="Q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</row>
    <row r="555" spans="1:53" ht="16.5" thickBot="1" x14ac:dyDescent="0.3">
      <c r="A555" s="214" t="str">
        <f>References!$F$6</f>
        <v>Energy cost</v>
      </c>
      <c r="B555" s="215"/>
      <c r="C555" s="216">
        <v>3</v>
      </c>
      <c r="D555" s="217"/>
      <c r="E555" s="154"/>
      <c r="F555" s="156"/>
      <c r="G555" s="156"/>
      <c r="H555" s="156"/>
      <c r="I555" s="13"/>
      <c r="K555" s="154"/>
      <c r="L555" s="13"/>
      <c r="M555" s="13"/>
      <c r="N555" s="154"/>
      <c r="O555" s="154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</row>
    <row r="556" spans="1:53" ht="15.75" x14ac:dyDescent="0.25">
      <c r="A556" s="212" t="s">
        <v>111</v>
      </c>
      <c r="B556" s="213"/>
      <c r="C556" s="210">
        <v>2</v>
      </c>
      <c r="D556" s="211"/>
      <c r="E556" s="154"/>
      <c r="F556" s="156"/>
      <c r="G556" s="156"/>
      <c r="H556" s="156"/>
      <c r="I556" s="13"/>
      <c r="K556" s="154"/>
      <c r="L556" s="13"/>
      <c r="M556" s="13"/>
      <c r="N556" s="154"/>
      <c r="O556" s="154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</row>
    <row r="557" spans="1:53" ht="16.5" thickBot="1" x14ac:dyDescent="0.3">
      <c r="A557" s="214" t="s">
        <v>110</v>
      </c>
      <c r="B557" s="215"/>
      <c r="C557" s="208">
        <v>0</v>
      </c>
      <c r="D557" s="230"/>
      <c r="E557" s="154"/>
      <c r="F557" s="156"/>
      <c r="G557" s="156"/>
      <c r="H557" s="156"/>
      <c r="I557" s="13"/>
      <c r="K557" s="154"/>
      <c r="L557" s="13"/>
      <c r="M557" s="13"/>
      <c r="N557" s="154"/>
      <c r="O557" s="154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</row>
    <row r="558" spans="1:53" ht="16.5" thickBot="1" x14ac:dyDescent="0.3">
      <c r="A558" s="133" t="str">
        <f>References!$G$2</f>
        <v>Type</v>
      </c>
      <c r="B558" s="135" t="str">
        <f>References!$G$3</f>
        <v>Stat</v>
      </c>
      <c r="C558" s="146" t="str">
        <f>References!$G$7</f>
        <v>Nb</v>
      </c>
      <c r="D558" s="147" t="str">
        <f>References!$G$8</f>
        <v>Turns</v>
      </c>
      <c r="E558" s="152"/>
      <c r="F558" s="152"/>
      <c r="G558" s="155"/>
      <c r="H558" s="149"/>
      <c r="L558" s="13"/>
      <c r="M558" s="13"/>
      <c r="P558" s="13"/>
      <c r="Q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</row>
    <row r="559" spans="1:53" ht="16.5" thickBot="1" x14ac:dyDescent="0.3">
      <c r="A559" s="127" t="str">
        <f>References!$C$2</f>
        <v>Direct</v>
      </c>
      <c r="B559" s="143" t="str">
        <f>References!$A$3</f>
        <v>hp</v>
      </c>
      <c r="C559" s="144">
        <v>3</v>
      </c>
      <c r="D559" s="145"/>
      <c r="E559" s="13"/>
      <c r="F559" s="156"/>
      <c r="G559" s="154"/>
      <c r="H559" s="148"/>
      <c r="L559" s="13"/>
      <c r="M559" s="13"/>
      <c r="P559" s="13"/>
      <c r="Q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</row>
    <row r="560" spans="1:53" ht="16.5" thickBot="1" x14ac:dyDescent="0.3">
      <c r="A560" s="127" t="str">
        <f>References!$C$2</f>
        <v>Direct</v>
      </c>
      <c r="B560" s="143" t="str">
        <f>References!$A$4</f>
        <v>enrg</v>
      </c>
      <c r="C560" s="141">
        <v>2</v>
      </c>
      <c r="D560" s="145"/>
      <c r="E560" s="13"/>
      <c r="F560" s="156"/>
      <c r="G560" s="154"/>
      <c r="H560" s="148"/>
      <c r="L560" s="13"/>
      <c r="M560" s="13"/>
      <c r="P560" s="13"/>
      <c r="Q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</row>
    <row r="561" spans="12:53" x14ac:dyDescent="0.25">
      <c r="L561" s="13"/>
      <c r="M561" s="13"/>
      <c r="P561" s="13"/>
      <c r="Q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</row>
    <row r="562" spans="12:53" x14ac:dyDescent="0.25">
      <c r="L562" s="13"/>
      <c r="M562" s="13"/>
      <c r="P562" s="13"/>
      <c r="Q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</row>
    <row r="563" spans="12:53" x14ac:dyDescent="0.25">
      <c r="L563" s="13"/>
      <c r="M563" s="13"/>
      <c r="P563" s="13"/>
      <c r="Q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</row>
    <row r="564" spans="12:53" x14ac:dyDescent="0.25">
      <c r="L564" s="13"/>
      <c r="M564" s="13"/>
      <c r="P564" s="13"/>
      <c r="Q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</row>
    <row r="565" spans="12:53" x14ac:dyDescent="0.25">
      <c r="L565" s="13"/>
      <c r="M565" s="13"/>
      <c r="P565" s="13"/>
      <c r="Q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</row>
    <row r="566" spans="12:53" x14ac:dyDescent="0.25">
      <c r="L566" s="13"/>
      <c r="M566" s="13"/>
      <c r="P566" s="13"/>
      <c r="Q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</row>
    <row r="567" spans="12:53" x14ac:dyDescent="0.25">
      <c r="L567" s="13"/>
      <c r="M567" s="13"/>
      <c r="P567" s="13"/>
      <c r="Q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</row>
    <row r="568" spans="12:53" x14ac:dyDescent="0.25">
      <c r="L568" s="13"/>
      <c r="M568" s="13"/>
      <c r="P568" s="13"/>
      <c r="Q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</row>
    <row r="569" spans="12:53" x14ac:dyDescent="0.25">
      <c r="L569" s="13"/>
      <c r="M569" s="13"/>
      <c r="P569" s="13"/>
      <c r="Q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</row>
    <row r="570" spans="12:53" x14ac:dyDescent="0.25">
      <c r="L570" s="13"/>
      <c r="M570" s="13"/>
      <c r="P570" s="13"/>
      <c r="Q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</row>
    <row r="571" spans="12:53" x14ac:dyDescent="0.25">
      <c r="L571" s="13"/>
      <c r="M571" s="13"/>
      <c r="P571" s="13"/>
      <c r="Q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</row>
    <row r="572" spans="12:53" x14ac:dyDescent="0.25">
      <c r="L572" s="13"/>
      <c r="M572" s="13"/>
      <c r="P572" s="13"/>
      <c r="Q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</row>
    <row r="573" spans="12:53" x14ac:dyDescent="0.25">
      <c r="L573" s="13"/>
      <c r="M573" s="13"/>
      <c r="P573" s="13"/>
      <c r="Q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</row>
    <row r="574" spans="12:53" x14ac:dyDescent="0.25">
      <c r="L574" s="13"/>
      <c r="M574" s="13"/>
      <c r="P574" s="13"/>
      <c r="Q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</row>
    <row r="575" spans="12:53" x14ac:dyDescent="0.25">
      <c r="L575" s="13"/>
      <c r="M575" s="13"/>
      <c r="P575" s="13"/>
      <c r="Q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</row>
    <row r="576" spans="12:53" x14ac:dyDescent="0.25">
      <c r="L576" s="13"/>
      <c r="M576" s="13"/>
      <c r="P576" s="13"/>
      <c r="Q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</row>
    <row r="577" spans="12:53" x14ac:dyDescent="0.25">
      <c r="L577" s="13"/>
      <c r="M577" s="13"/>
      <c r="P577" s="13"/>
      <c r="Q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</row>
    <row r="578" spans="12:53" x14ac:dyDescent="0.25">
      <c r="L578" s="13"/>
      <c r="M578" s="13"/>
      <c r="P578" s="13"/>
      <c r="Q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</row>
    <row r="579" spans="12:53" x14ac:dyDescent="0.25">
      <c r="L579" s="13"/>
      <c r="M579" s="13"/>
      <c r="P579" s="13"/>
      <c r="Q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</row>
    <row r="580" spans="12:53" x14ac:dyDescent="0.25">
      <c r="L580" s="13"/>
      <c r="M580" s="13"/>
      <c r="P580" s="13"/>
      <c r="Q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</row>
    <row r="581" spans="12:53" x14ac:dyDescent="0.25">
      <c r="L581" s="13"/>
      <c r="M581" s="13"/>
      <c r="P581" s="13"/>
      <c r="Q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</row>
    <row r="582" spans="12:53" x14ac:dyDescent="0.25">
      <c r="L582" s="13"/>
      <c r="M582" s="13"/>
      <c r="P582" s="13"/>
      <c r="Q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</row>
    <row r="583" spans="12:53" x14ac:dyDescent="0.25">
      <c r="L583" s="13"/>
      <c r="M583" s="13"/>
      <c r="P583" s="13"/>
      <c r="Q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</row>
    <row r="584" spans="12:53" x14ac:dyDescent="0.25">
      <c r="L584" s="13"/>
      <c r="M584" s="13"/>
      <c r="P584" s="13"/>
      <c r="Q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</row>
    <row r="585" spans="12:53" x14ac:dyDescent="0.25">
      <c r="L585" s="13"/>
      <c r="M585" s="13"/>
      <c r="P585" s="13"/>
      <c r="Q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</row>
    <row r="586" spans="12:53" x14ac:dyDescent="0.25">
      <c r="L586" s="13"/>
      <c r="M586" s="13"/>
      <c r="P586" s="13"/>
      <c r="Q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</row>
    <row r="587" spans="12:53" x14ac:dyDescent="0.25">
      <c r="L587" s="13"/>
      <c r="M587" s="13"/>
      <c r="P587" s="13"/>
      <c r="Q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</row>
    <row r="588" spans="12:53" x14ac:dyDescent="0.25">
      <c r="L588" s="13"/>
      <c r="M588" s="13"/>
      <c r="P588" s="13"/>
      <c r="Q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</row>
    <row r="589" spans="12:53" x14ac:dyDescent="0.25">
      <c r="L589" s="13"/>
      <c r="M589" s="13"/>
      <c r="P589" s="13"/>
      <c r="Q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</row>
    <row r="590" spans="12:53" x14ac:dyDescent="0.25">
      <c r="L590" s="13"/>
      <c r="M590" s="13"/>
      <c r="P590" s="13"/>
      <c r="Q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</row>
    <row r="591" spans="12:53" x14ac:dyDescent="0.25">
      <c r="L591" s="13"/>
      <c r="M591" s="13"/>
      <c r="P591" s="13"/>
      <c r="Q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</row>
    <row r="592" spans="12:53" x14ac:dyDescent="0.25">
      <c r="L592" s="13"/>
      <c r="M592" s="13"/>
      <c r="P592" s="13"/>
      <c r="Q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</row>
    <row r="593" spans="12:53" x14ac:dyDescent="0.25">
      <c r="L593" s="13"/>
      <c r="M593" s="13"/>
      <c r="P593" s="13"/>
      <c r="Q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</row>
    <row r="594" spans="12:53" x14ac:dyDescent="0.25">
      <c r="L594" s="13"/>
      <c r="M594" s="13"/>
      <c r="P594" s="13"/>
      <c r="Q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</row>
    <row r="595" spans="12:53" x14ac:dyDescent="0.25">
      <c r="L595" s="13"/>
      <c r="M595" s="13"/>
      <c r="P595" s="13"/>
      <c r="Q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</row>
    <row r="596" spans="12:53" x14ac:dyDescent="0.25">
      <c r="L596" s="13"/>
      <c r="M596" s="13"/>
      <c r="P596" s="13"/>
      <c r="Q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</row>
    <row r="597" spans="12:53" x14ac:dyDescent="0.25">
      <c r="L597" s="13"/>
      <c r="M597" s="13"/>
      <c r="P597" s="13"/>
      <c r="Q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</row>
    <row r="598" spans="12:53" x14ac:dyDescent="0.25">
      <c r="L598" s="13"/>
      <c r="M598" s="13"/>
      <c r="P598" s="13"/>
      <c r="Q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</row>
    <row r="599" spans="12:53" x14ac:dyDescent="0.25">
      <c r="L599" s="13"/>
      <c r="M599" s="13"/>
      <c r="P599" s="13"/>
      <c r="Q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</row>
    <row r="600" spans="12:53" x14ac:dyDescent="0.25">
      <c r="L600" s="13"/>
      <c r="M600" s="13"/>
      <c r="P600" s="13"/>
      <c r="Q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</row>
    <row r="601" spans="12:53" x14ac:dyDescent="0.25">
      <c r="L601" s="13"/>
      <c r="M601" s="13"/>
      <c r="P601" s="13"/>
      <c r="Q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</row>
    <row r="602" spans="12:53" x14ac:dyDescent="0.25">
      <c r="L602" s="13"/>
      <c r="M602" s="13"/>
      <c r="P602" s="13"/>
      <c r="Q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</row>
    <row r="603" spans="12:53" x14ac:dyDescent="0.25">
      <c r="L603" s="13"/>
      <c r="M603" s="13"/>
      <c r="P603" s="13"/>
      <c r="Q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</row>
    <row r="604" spans="12:53" x14ac:dyDescent="0.25">
      <c r="L604" s="13"/>
      <c r="M604" s="13"/>
      <c r="P604" s="13"/>
      <c r="Q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</row>
    <row r="605" spans="12:53" x14ac:dyDescent="0.25">
      <c r="L605" s="13"/>
      <c r="M605" s="13"/>
      <c r="P605" s="13"/>
      <c r="Q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</row>
    <row r="606" spans="12:53" x14ac:dyDescent="0.25">
      <c r="L606" s="13"/>
      <c r="M606" s="13"/>
      <c r="P606" s="13"/>
      <c r="Q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</row>
    <row r="607" spans="12:53" x14ac:dyDescent="0.25">
      <c r="L607" s="13"/>
      <c r="M607" s="13"/>
      <c r="P607" s="13"/>
      <c r="Q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</row>
    <row r="608" spans="12:53" x14ac:dyDescent="0.25">
      <c r="L608" s="13"/>
      <c r="M608" s="13"/>
      <c r="P608" s="13"/>
      <c r="Q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</row>
    <row r="609" spans="12:53" x14ac:dyDescent="0.25">
      <c r="L609" s="13"/>
      <c r="M609" s="13"/>
      <c r="P609" s="13"/>
      <c r="Q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</row>
    <row r="610" spans="12:53" x14ac:dyDescent="0.25">
      <c r="L610" s="13"/>
      <c r="M610" s="13"/>
      <c r="P610" s="13"/>
      <c r="Q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</row>
    <row r="611" spans="12:53" x14ac:dyDescent="0.25">
      <c r="L611" s="13"/>
      <c r="M611" s="13"/>
      <c r="P611" s="13"/>
      <c r="Q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</row>
    <row r="612" spans="12:53" x14ac:dyDescent="0.25">
      <c r="L612" s="13"/>
      <c r="M612" s="13"/>
      <c r="P612" s="13"/>
      <c r="Q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</row>
    <row r="613" spans="12:53" x14ac:dyDescent="0.25">
      <c r="L613" s="13"/>
      <c r="M613" s="13"/>
      <c r="P613" s="13"/>
      <c r="Q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</row>
    <row r="614" spans="12:53" x14ac:dyDescent="0.25">
      <c r="L614" s="13"/>
      <c r="M614" s="13"/>
      <c r="P614" s="13"/>
      <c r="Q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</row>
    <row r="615" spans="12:53" x14ac:dyDescent="0.25">
      <c r="L615" s="13"/>
      <c r="M615" s="13"/>
      <c r="P615" s="13"/>
      <c r="Q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</row>
    <row r="616" spans="12:53" x14ac:dyDescent="0.25">
      <c r="L616" s="13"/>
      <c r="M616" s="13"/>
      <c r="P616" s="13"/>
      <c r="Q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</row>
    <row r="617" spans="12:53" x14ac:dyDescent="0.25">
      <c r="L617" s="13"/>
      <c r="M617" s="13"/>
      <c r="P617" s="13"/>
      <c r="Q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</row>
    <row r="618" spans="12:53" x14ac:dyDescent="0.25">
      <c r="L618" s="13"/>
      <c r="M618" s="13"/>
      <c r="P618" s="13"/>
      <c r="Q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</row>
    <row r="619" spans="12:53" x14ac:dyDescent="0.25">
      <c r="L619" s="13"/>
      <c r="M619" s="13"/>
      <c r="P619" s="13"/>
      <c r="Q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</row>
    <row r="620" spans="12:53" x14ac:dyDescent="0.25">
      <c r="L620" s="13"/>
      <c r="M620" s="13"/>
      <c r="P620" s="13"/>
      <c r="Q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</row>
    <row r="621" spans="12:53" x14ac:dyDescent="0.25">
      <c r="L621" s="13"/>
      <c r="M621" s="13"/>
      <c r="P621" s="13"/>
      <c r="Q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</row>
    <row r="622" spans="12:53" x14ac:dyDescent="0.25">
      <c r="L622" s="13"/>
      <c r="M622" s="13"/>
      <c r="P622" s="13"/>
      <c r="Q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</row>
    <row r="623" spans="12:53" x14ac:dyDescent="0.25">
      <c r="L623" s="13"/>
      <c r="M623" s="13"/>
      <c r="P623" s="13"/>
      <c r="Q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</row>
    <row r="624" spans="12:53" x14ac:dyDescent="0.25">
      <c r="L624" s="13"/>
      <c r="M624" s="13"/>
      <c r="P624" s="13"/>
      <c r="Q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</row>
    <row r="625" spans="12:53" x14ac:dyDescent="0.25">
      <c r="L625" s="13"/>
      <c r="M625" s="13"/>
      <c r="P625" s="13"/>
      <c r="Q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</row>
    <row r="626" spans="12:53" x14ac:dyDescent="0.25">
      <c r="L626" s="13"/>
      <c r="M626" s="13"/>
      <c r="P626" s="13"/>
      <c r="Q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</row>
    <row r="627" spans="12:53" x14ac:dyDescent="0.25">
      <c r="L627" s="13"/>
      <c r="M627" s="13"/>
      <c r="P627" s="13"/>
      <c r="Q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</row>
    <row r="628" spans="12:53" x14ac:dyDescent="0.25">
      <c r="L628" s="13"/>
      <c r="M628" s="13"/>
      <c r="P628" s="13"/>
      <c r="Q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</row>
    <row r="629" spans="12:53" x14ac:dyDescent="0.25">
      <c r="L629" s="13"/>
      <c r="M629" s="13"/>
      <c r="P629" s="13"/>
      <c r="Q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</row>
    <row r="630" spans="12:53" x14ac:dyDescent="0.25">
      <c r="L630" s="13"/>
      <c r="M630" s="13"/>
      <c r="P630" s="13"/>
      <c r="Q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</row>
    <row r="631" spans="12:53" x14ac:dyDescent="0.25">
      <c r="L631" s="13"/>
      <c r="M631" s="13"/>
      <c r="P631" s="13"/>
      <c r="Q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</row>
    <row r="632" spans="12:53" x14ac:dyDescent="0.25">
      <c r="L632" s="13"/>
      <c r="M632" s="13"/>
      <c r="P632" s="13"/>
      <c r="Q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</row>
    <row r="633" spans="12:53" x14ac:dyDescent="0.25">
      <c r="L633" s="13"/>
      <c r="M633" s="13"/>
      <c r="P633" s="13"/>
      <c r="Q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</row>
    <row r="634" spans="12:53" x14ac:dyDescent="0.25">
      <c r="L634" s="13"/>
      <c r="M634" s="13"/>
      <c r="P634" s="13"/>
      <c r="Q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</row>
    <row r="635" spans="12:53" x14ac:dyDescent="0.25">
      <c r="L635" s="13"/>
      <c r="M635" s="13"/>
      <c r="P635" s="13"/>
      <c r="Q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</row>
    <row r="636" spans="12:53" x14ac:dyDescent="0.25">
      <c r="L636" s="13"/>
      <c r="M636" s="13"/>
      <c r="P636" s="13"/>
      <c r="Q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</row>
    <row r="637" spans="12:53" x14ac:dyDescent="0.25">
      <c r="L637" s="13"/>
      <c r="M637" s="13"/>
      <c r="P637" s="13"/>
      <c r="Q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</row>
    <row r="638" spans="12:53" x14ac:dyDescent="0.25">
      <c r="L638" s="13"/>
      <c r="M638" s="13"/>
      <c r="P638" s="13"/>
      <c r="Q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</row>
    <row r="639" spans="12:53" x14ac:dyDescent="0.25">
      <c r="L639" s="13"/>
      <c r="M639" s="13"/>
      <c r="P639" s="13"/>
      <c r="Q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</row>
    <row r="640" spans="12:53" x14ac:dyDescent="0.25">
      <c r="L640" s="13"/>
      <c r="M640" s="13"/>
      <c r="P640" s="13"/>
      <c r="Q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</row>
    <row r="641" spans="12:53" x14ac:dyDescent="0.25">
      <c r="L641" s="13"/>
      <c r="M641" s="13"/>
      <c r="P641" s="13"/>
      <c r="Q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</row>
    <row r="642" spans="12:53" x14ac:dyDescent="0.25">
      <c r="L642" s="13"/>
      <c r="M642" s="13"/>
      <c r="P642" s="13"/>
      <c r="Q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</row>
    <row r="643" spans="12:53" x14ac:dyDescent="0.25">
      <c r="L643" s="13"/>
      <c r="M643" s="13"/>
      <c r="P643" s="13"/>
      <c r="Q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</row>
    <row r="644" spans="12:53" x14ac:dyDescent="0.25">
      <c r="L644" s="13"/>
      <c r="M644" s="13"/>
      <c r="P644" s="13"/>
      <c r="Q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</row>
    <row r="645" spans="12:53" x14ac:dyDescent="0.25">
      <c r="L645" s="13"/>
      <c r="M645" s="13"/>
      <c r="P645" s="13"/>
      <c r="Q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</row>
    <row r="646" spans="12:53" x14ac:dyDescent="0.25">
      <c r="L646" s="13"/>
      <c r="M646" s="13"/>
      <c r="P646" s="13"/>
      <c r="Q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</row>
    <row r="647" spans="12:53" x14ac:dyDescent="0.25">
      <c r="L647" s="13"/>
      <c r="M647" s="13"/>
      <c r="P647" s="13"/>
      <c r="Q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</row>
    <row r="648" spans="12:53" x14ac:dyDescent="0.25">
      <c r="L648" s="13"/>
      <c r="M648" s="13"/>
      <c r="P648" s="13"/>
      <c r="Q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</row>
    <row r="649" spans="12:53" x14ac:dyDescent="0.25">
      <c r="L649" s="13"/>
      <c r="M649" s="13"/>
      <c r="P649" s="13"/>
      <c r="Q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</row>
    <row r="650" spans="12:53" x14ac:dyDescent="0.25">
      <c r="L650" s="13"/>
      <c r="M650" s="13"/>
      <c r="P650" s="13"/>
      <c r="Q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</row>
    <row r="651" spans="12:53" x14ac:dyDescent="0.25">
      <c r="L651" s="13"/>
      <c r="M651" s="13"/>
      <c r="P651" s="13"/>
      <c r="Q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</row>
    <row r="652" spans="12:53" x14ac:dyDescent="0.25">
      <c r="L652" s="13"/>
      <c r="M652" s="13"/>
      <c r="P652" s="13"/>
      <c r="Q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</row>
    <row r="653" spans="12:53" x14ac:dyDescent="0.25">
      <c r="L653" s="13"/>
      <c r="M653" s="13"/>
      <c r="P653" s="13"/>
      <c r="Q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</row>
    <row r="654" spans="12:53" x14ac:dyDescent="0.25">
      <c r="L654" s="13"/>
      <c r="M654" s="13"/>
      <c r="P654" s="13"/>
      <c r="Q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</row>
    <row r="655" spans="12:53" x14ac:dyDescent="0.25">
      <c r="L655" s="13"/>
      <c r="M655" s="13"/>
      <c r="P655" s="13"/>
      <c r="Q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</row>
    <row r="656" spans="12:53" x14ac:dyDescent="0.25">
      <c r="L656" s="13"/>
      <c r="M656" s="13"/>
      <c r="P656" s="13"/>
      <c r="Q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</row>
    <row r="657" spans="12:53" x14ac:dyDescent="0.25">
      <c r="L657" s="13"/>
      <c r="M657" s="13"/>
      <c r="P657" s="13"/>
      <c r="Q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</row>
    <row r="658" spans="12:53" x14ac:dyDescent="0.25">
      <c r="L658" s="13"/>
      <c r="M658" s="13"/>
      <c r="P658" s="13"/>
      <c r="Q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</row>
    <row r="659" spans="12:53" x14ac:dyDescent="0.25">
      <c r="L659" s="13"/>
      <c r="M659" s="13"/>
      <c r="P659" s="13"/>
      <c r="Q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</row>
    <row r="660" spans="12:53" x14ac:dyDescent="0.25">
      <c r="L660" s="13"/>
      <c r="M660" s="13"/>
      <c r="P660" s="13"/>
      <c r="Q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</row>
    <row r="661" spans="12:53" x14ac:dyDescent="0.25">
      <c r="L661" s="13"/>
      <c r="M661" s="13"/>
      <c r="P661" s="13"/>
      <c r="Q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</row>
    <row r="662" spans="12:53" x14ac:dyDescent="0.25">
      <c r="L662" s="13"/>
      <c r="M662" s="13"/>
      <c r="P662" s="13"/>
      <c r="Q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</row>
    <row r="663" spans="12:53" x14ac:dyDescent="0.25">
      <c r="L663" s="13"/>
      <c r="M663" s="13"/>
      <c r="P663" s="13"/>
      <c r="Q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</row>
    <row r="664" spans="12:53" x14ac:dyDescent="0.25">
      <c r="L664" s="13"/>
      <c r="M664" s="13"/>
      <c r="P664" s="13"/>
      <c r="Q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</row>
    <row r="665" spans="12:53" x14ac:dyDescent="0.25">
      <c r="L665" s="13"/>
      <c r="M665" s="13"/>
      <c r="P665" s="13"/>
      <c r="Q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</row>
    <row r="666" spans="12:53" x14ac:dyDescent="0.25">
      <c r="L666" s="13"/>
      <c r="M666" s="13"/>
      <c r="P666" s="13"/>
      <c r="Q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</row>
    <row r="667" spans="12:53" x14ac:dyDescent="0.25">
      <c r="L667" s="13"/>
      <c r="M667" s="13"/>
      <c r="P667" s="13"/>
      <c r="Q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</row>
    <row r="668" spans="12:53" x14ac:dyDescent="0.25">
      <c r="L668" s="13"/>
      <c r="M668" s="13"/>
      <c r="P668" s="13"/>
      <c r="Q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</row>
    <row r="669" spans="12:53" x14ac:dyDescent="0.25">
      <c r="L669" s="13"/>
      <c r="M669" s="13"/>
      <c r="P669" s="13"/>
      <c r="Q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</row>
    <row r="670" spans="12:53" x14ac:dyDescent="0.25">
      <c r="L670" s="13"/>
      <c r="M670" s="13"/>
      <c r="P670" s="13"/>
      <c r="Q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</row>
    <row r="671" spans="12:53" x14ac:dyDescent="0.25">
      <c r="L671" s="13"/>
      <c r="M671" s="13"/>
      <c r="P671" s="13"/>
      <c r="Q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</row>
    <row r="672" spans="12:53" x14ac:dyDescent="0.25">
      <c r="L672" s="13"/>
      <c r="M672" s="13"/>
      <c r="P672" s="13"/>
      <c r="Q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</row>
    <row r="673" spans="12:53" x14ac:dyDescent="0.25">
      <c r="L673" s="13"/>
      <c r="M673" s="13"/>
      <c r="P673" s="13"/>
      <c r="Q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</row>
    <row r="674" spans="12:53" x14ac:dyDescent="0.25">
      <c r="L674" s="13"/>
      <c r="M674" s="13"/>
      <c r="P674" s="13"/>
      <c r="Q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</row>
    <row r="675" spans="12:53" x14ac:dyDescent="0.25">
      <c r="L675" s="13"/>
      <c r="M675" s="13"/>
      <c r="P675" s="13"/>
      <c r="Q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</row>
    <row r="676" spans="12:53" x14ac:dyDescent="0.25">
      <c r="L676" s="13"/>
      <c r="M676" s="13"/>
      <c r="P676" s="13"/>
      <c r="Q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</row>
    <row r="677" spans="12:53" x14ac:dyDescent="0.25">
      <c r="L677" s="13"/>
      <c r="M677" s="13"/>
      <c r="P677" s="13"/>
      <c r="Q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</row>
    <row r="678" spans="12:53" x14ac:dyDescent="0.25">
      <c r="L678" s="13"/>
      <c r="M678" s="13"/>
      <c r="P678" s="13"/>
      <c r="Q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</row>
    <row r="679" spans="12:53" x14ac:dyDescent="0.25">
      <c r="L679" s="13"/>
      <c r="M679" s="13"/>
      <c r="P679" s="13"/>
      <c r="Q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</row>
    <row r="680" spans="12:53" x14ac:dyDescent="0.25">
      <c r="L680" s="13"/>
      <c r="M680" s="13"/>
      <c r="P680" s="13"/>
      <c r="Q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</row>
    <row r="681" spans="12:53" x14ac:dyDescent="0.25">
      <c r="L681" s="13"/>
      <c r="M681" s="13"/>
      <c r="P681" s="13"/>
      <c r="Q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</row>
    <row r="682" spans="12:53" x14ac:dyDescent="0.25">
      <c r="L682" s="13"/>
      <c r="M682" s="13"/>
      <c r="P682" s="13"/>
      <c r="Q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</row>
    <row r="683" spans="12:53" x14ac:dyDescent="0.25">
      <c r="L683" s="13"/>
      <c r="M683" s="13"/>
      <c r="P683" s="13"/>
      <c r="Q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</row>
    <row r="684" spans="12:53" x14ac:dyDescent="0.25">
      <c r="L684" s="13"/>
      <c r="M684" s="13"/>
      <c r="P684" s="13"/>
      <c r="Q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</row>
    <row r="685" spans="12:53" x14ac:dyDescent="0.25">
      <c r="L685" s="13"/>
      <c r="M685" s="13"/>
      <c r="P685" s="13"/>
      <c r="Q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</row>
    <row r="686" spans="12:53" x14ac:dyDescent="0.25">
      <c r="L686" s="13"/>
      <c r="M686" s="13"/>
      <c r="P686" s="13"/>
      <c r="Q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</row>
    <row r="687" spans="12:53" x14ac:dyDescent="0.25">
      <c r="L687" s="13"/>
      <c r="M687" s="13"/>
      <c r="P687" s="13"/>
      <c r="Q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</row>
    <row r="688" spans="12:53" x14ac:dyDescent="0.25">
      <c r="L688" s="13"/>
      <c r="M688" s="13"/>
      <c r="P688" s="13"/>
      <c r="Q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</row>
    <row r="689" spans="12:53" x14ac:dyDescent="0.25">
      <c r="L689" s="13"/>
      <c r="M689" s="13"/>
      <c r="P689" s="13"/>
      <c r="Q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</row>
    <row r="690" spans="12:53" x14ac:dyDescent="0.25">
      <c r="L690" s="13"/>
      <c r="M690" s="13"/>
      <c r="P690" s="13"/>
      <c r="Q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</row>
    <row r="691" spans="12:53" x14ac:dyDescent="0.25">
      <c r="L691" s="13"/>
      <c r="M691" s="13"/>
      <c r="P691" s="13"/>
      <c r="Q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</row>
    <row r="692" spans="12:53" x14ac:dyDescent="0.25">
      <c r="L692" s="13"/>
      <c r="M692" s="13"/>
      <c r="P692" s="13"/>
      <c r="Q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</row>
    <row r="693" spans="12:53" x14ac:dyDescent="0.25">
      <c r="L693" s="13"/>
      <c r="M693" s="13"/>
      <c r="P693" s="13"/>
      <c r="Q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</row>
    <row r="694" spans="12:53" x14ac:dyDescent="0.25">
      <c r="L694" s="13"/>
      <c r="M694" s="13"/>
      <c r="P694" s="13"/>
      <c r="Q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</row>
    <row r="695" spans="12:53" x14ac:dyDescent="0.25">
      <c r="L695" s="13"/>
      <c r="M695" s="13"/>
      <c r="P695" s="13"/>
      <c r="Q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</row>
    <row r="696" spans="12:53" x14ac:dyDescent="0.25">
      <c r="L696" s="13"/>
      <c r="M696" s="13"/>
      <c r="P696" s="13"/>
      <c r="Q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</row>
    <row r="697" spans="12:53" x14ac:dyDescent="0.25">
      <c r="L697" s="13"/>
      <c r="M697" s="13"/>
      <c r="P697" s="13"/>
      <c r="Q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</row>
    <row r="698" spans="12:53" x14ac:dyDescent="0.25">
      <c r="L698" s="13"/>
      <c r="M698" s="13"/>
      <c r="P698" s="13"/>
      <c r="Q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</row>
    <row r="699" spans="12:53" x14ac:dyDescent="0.25">
      <c r="L699" s="13"/>
      <c r="M699" s="13"/>
      <c r="P699" s="13"/>
      <c r="Q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</row>
    <row r="700" spans="12:53" x14ac:dyDescent="0.25">
      <c r="L700" s="13"/>
      <c r="M700" s="13"/>
      <c r="P700" s="13"/>
      <c r="Q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</row>
    <row r="701" spans="12:53" x14ac:dyDescent="0.25">
      <c r="L701" s="13"/>
      <c r="M701" s="13"/>
      <c r="P701" s="13"/>
      <c r="Q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</row>
    <row r="702" spans="12:53" x14ac:dyDescent="0.25">
      <c r="L702" s="13"/>
      <c r="M702" s="13"/>
      <c r="P702" s="13"/>
      <c r="Q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</row>
    <row r="703" spans="12:53" x14ac:dyDescent="0.25">
      <c r="L703" s="13"/>
      <c r="M703" s="13"/>
      <c r="P703" s="13"/>
      <c r="Q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</row>
    <row r="704" spans="12:53" x14ac:dyDescent="0.25">
      <c r="L704" s="13"/>
      <c r="M704" s="13"/>
      <c r="P704" s="13"/>
      <c r="Q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</row>
    <row r="705" spans="12:53" x14ac:dyDescent="0.25">
      <c r="L705" s="13"/>
      <c r="M705" s="13"/>
      <c r="P705" s="13"/>
      <c r="Q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</row>
    <row r="706" spans="12:53" x14ac:dyDescent="0.25">
      <c r="L706" s="13"/>
      <c r="M706" s="13"/>
      <c r="P706" s="13"/>
      <c r="Q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</row>
    <row r="707" spans="12:53" x14ac:dyDescent="0.25">
      <c r="L707" s="13"/>
      <c r="M707" s="13"/>
      <c r="P707" s="13"/>
      <c r="Q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</row>
    <row r="708" spans="12:53" x14ac:dyDescent="0.25">
      <c r="L708" s="13"/>
      <c r="M708" s="13"/>
      <c r="P708" s="13"/>
      <c r="Q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</row>
    <row r="709" spans="12:53" x14ac:dyDescent="0.25">
      <c r="L709" s="13"/>
      <c r="M709" s="13"/>
      <c r="P709" s="13"/>
      <c r="Q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</row>
    <row r="710" spans="12:53" x14ac:dyDescent="0.25">
      <c r="L710" s="13"/>
      <c r="M710" s="13"/>
      <c r="P710" s="13"/>
      <c r="Q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</row>
    <row r="711" spans="12:53" x14ac:dyDescent="0.25">
      <c r="L711" s="13"/>
      <c r="M711" s="13"/>
      <c r="P711" s="13"/>
      <c r="Q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</row>
    <row r="712" spans="12:53" x14ac:dyDescent="0.25">
      <c r="L712" s="13"/>
      <c r="M712" s="13"/>
      <c r="P712" s="13"/>
      <c r="Q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</row>
    <row r="713" spans="12:53" x14ac:dyDescent="0.25">
      <c r="L713" s="13"/>
      <c r="M713" s="13"/>
      <c r="P713" s="13"/>
      <c r="Q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</row>
    <row r="714" spans="12:53" x14ac:dyDescent="0.25">
      <c r="L714" s="13"/>
      <c r="M714" s="13"/>
      <c r="P714" s="13"/>
      <c r="Q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</row>
    <row r="715" spans="12:53" x14ac:dyDescent="0.25">
      <c r="L715" s="13"/>
      <c r="M715" s="13"/>
      <c r="P715" s="13"/>
      <c r="Q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</row>
    <row r="716" spans="12:53" x14ac:dyDescent="0.25">
      <c r="L716" s="13"/>
      <c r="M716" s="13"/>
      <c r="P716" s="13"/>
      <c r="Q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</row>
    <row r="717" spans="12:53" x14ac:dyDescent="0.25">
      <c r="L717" s="13"/>
      <c r="M717" s="13"/>
      <c r="P717" s="13"/>
      <c r="Q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</row>
    <row r="718" spans="12:53" x14ac:dyDescent="0.25">
      <c r="L718" s="13"/>
      <c r="M718" s="13"/>
      <c r="P718" s="13"/>
      <c r="Q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</row>
    <row r="719" spans="12:53" x14ac:dyDescent="0.25">
      <c r="L719" s="13"/>
      <c r="M719" s="13"/>
      <c r="P719" s="13"/>
      <c r="Q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</row>
    <row r="720" spans="12:53" x14ac:dyDescent="0.25">
      <c r="L720" s="13"/>
      <c r="M720" s="13"/>
      <c r="P720" s="13"/>
      <c r="Q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</row>
    <row r="721" spans="12:53" x14ac:dyDescent="0.25">
      <c r="L721" s="13"/>
      <c r="M721" s="13"/>
      <c r="P721" s="13"/>
      <c r="Q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</row>
    <row r="722" spans="12:53" x14ac:dyDescent="0.25">
      <c r="L722" s="13"/>
      <c r="M722" s="13"/>
      <c r="P722" s="13"/>
      <c r="Q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</row>
    <row r="723" spans="12:53" x14ac:dyDescent="0.25">
      <c r="L723" s="13"/>
      <c r="M723" s="13"/>
      <c r="P723" s="13"/>
      <c r="Q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</row>
    <row r="724" spans="12:53" x14ac:dyDescent="0.25">
      <c r="L724" s="13"/>
      <c r="M724" s="13"/>
      <c r="P724" s="13"/>
      <c r="Q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</row>
    <row r="725" spans="12:53" x14ac:dyDescent="0.25">
      <c r="L725" s="13"/>
      <c r="M725" s="13"/>
      <c r="P725" s="13"/>
      <c r="Q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</row>
    <row r="726" spans="12:53" x14ac:dyDescent="0.25">
      <c r="L726" s="13"/>
      <c r="M726" s="13"/>
      <c r="P726" s="13"/>
      <c r="Q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</row>
    <row r="727" spans="12:53" x14ac:dyDescent="0.25">
      <c r="L727" s="13"/>
      <c r="M727" s="13"/>
      <c r="P727" s="13"/>
      <c r="Q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</row>
    <row r="728" spans="12:53" x14ac:dyDescent="0.25">
      <c r="L728" s="13"/>
      <c r="M728" s="13"/>
      <c r="P728" s="13"/>
      <c r="Q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</row>
    <row r="729" spans="12:53" x14ac:dyDescent="0.25">
      <c r="L729" s="13"/>
      <c r="M729" s="13"/>
      <c r="P729" s="13"/>
      <c r="Q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</row>
    <row r="730" spans="12:53" x14ac:dyDescent="0.25">
      <c r="L730" s="13"/>
      <c r="M730" s="13"/>
      <c r="P730" s="13"/>
      <c r="Q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</row>
    <row r="731" spans="12:53" x14ac:dyDescent="0.25">
      <c r="L731" s="13"/>
      <c r="M731" s="13"/>
      <c r="P731" s="13"/>
      <c r="Q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</row>
    <row r="732" spans="12:53" x14ac:dyDescent="0.25">
      <c r="L732" s="13"/>
      <c r="M732" s="13"/>
      <c r="P732" s="13"/>
      <c r="Q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</row>
    <row r="733" spans="12:53" x14ac:dyDescent="0.25">
      <c r="L733" s="13"/>
      <c r="M733" s="13"/>
      <c r="P733" s="13"/>
      <c r="Q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</row>
    <row r="734" spans="12:53" x14ac:dyDescent="0.25">
      <c r="L734" s="13"/>
      <c r="M734" s="13"/>
      <c r="P734" s="13"/>
      <c r="Q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</row>
    <row r="735" spans="12:53" x14ac:dyDescent="0.25">
      <c r="L735" s="13"/>
      <c r="M735" s="13"/>
      <c r="P735" s="13"/>
      <c r="Q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</row>
    <row r="736" spans="12:53" x14ac:dyDescent="0.25">
      <c r="L736" s="13"/>
      <c r="M736" s="13"/>
      <c r="P736" s="13"/>
      <c r="Q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</row>
    <row r="737" spans="12:53" x14ac:dyDescent="0.25">
      <c r="L737" s="13"/>
      <c r="M737" s="13"/>
      <c r="P737" s="13"/>
      <c r="Q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</row>
    <row r="738" spans="12:53" x14ac:dyDescent="0.25">
      <c r="L738" s="13"/>
      <c r="M738" s="13"/>
      <c r="P738" s="13"/>
      <c r="Q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</row>
    <row r="739" spans="12:53" x14ac:dyDescent="0.25">
      <c r="L739" s="13"/>
      <c r="M739" s="13"/>
      <c r="P739" s="13"/>
      <c r="Q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</row>
    <row r="740" spans="12:53" x14ac:dyDescent="0.25">
      <c r="L740" s="13"/>
      <c r="M740" s="13"/>
      <c r="P740" s="13"/>
      <c r="Q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</row>
    <row r="741" spans="12:53" x14ac:dyDescent="0.25">
      <c r="L741" s="13"/>
      <c r="M741" s="13"/>
      <c r="P741" s="13"/>
      <c r="Q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</row>
    <row r="742" spans="12:53" x14ac:dyDescent="0.25">
      <c r="L742" s="13"/>
      <c r="M742" s="13"/>
      <c r="P742" s="13"/>
      <c r="Q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</row>
    <row r="743" spans="12:53" x14ac:dyDescent="0.25">
      <c r="L743" s="13"/>
      <c r="M743" s="13"/>
      <c r="P743" s="13"/>
      <c r="Q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</row>
    <row r="744" spans="12:53" x14ac:dyDescent="0.25">
      <c r="L744" s="13"/>
      <c r="M744" s="13"/>
      <c r="P744" s="13"/>
      <c r="Q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</row>
    <row r="745" spans="12:53" x14ac:dyDescent="0.25">
      <c r="L745" s="13"/>
      <c r="M745" s="13"/>
      <c r="P745" s="13"/>
      <c r="Q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</row>
    <row r="746" spans="12:53" x14ac:dyDescent="0.25">
      <c r="L746" s="13"/>
      <c r="M746" s="13"/>
      <c r="P746" s="13"/>
      <c r="Q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</row>
    <row r="747" spans="12:53" x14ac:dyDescent="0.25">
      <c r="L747" s="13"/>
      <c r="M747" s="13"/>
      <c r="P747" s="13"/>
      <c r="Q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</row>
    <row r="748" spans="12:53" x14ac:dyDescent="0.25">
      <c r="L748" s="13"/>
      <c r="M748" s="13"/>
      <c r="P748" s="13"/>
      <c r="Q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</row>
    <row r="749" spans="12:53" x14ac:dyDescent="0.25">
      <c r="L749" s="13"/>
      <c r="M749" s="13"/>
      <c r="P749" s="13"/>
      <c r="Q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</row>
    <row r="750" spans="12:53" x14ac:dyDescent="0.25">
      <c r="L750" s="13"/>
      <c r="M750" s="13"/>
      <c r="P750" s="13"/>
      <c r="Q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</row>
    <row r="751" spans="12:53" x14ac:dyDescent="0.25">
      <c r="L751" s="13"/>
      <c r="M751" s="13"/>
      <c r="P751" s="13"/>
      <c r="Q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</row>
    <row r="752" spans="12:53" x14ac:dyDescent="0.25">
      <c r="L752" s="13"/>
      <c r="M752" s="13"/>
      <c r="P752" s="13"/>
      <c r="Q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</row>
    <row r="753" spans="12:53" x14ac:dyDescent="0.25">
      <c r="L753" s="13"/>
      <c r="M753" s="13"/>
      <c r="P753" s="13"/>
      <c r="Q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</row>
  </sheetData>
  <mergeCells count="490">
    <mergeCell ref="A1:B1"/>
    <mergeCell ref="C1:D1"/>
    <mergeCell ref="A2:B2"/>
    <mergeCell ref="C2:D2"/>
    <mergeCell ref="A3:B3"/>
    <mergeCell ref="C3:D3"/>
    <mergeCell ref="A276:B276"/>
    <mergeCell ref="C276:D276"/>
    <mergeCell ref="A277:B277"/>
    <mergeCell ref="C277:D277"/>
    <mergeCell ref="A12:B12"/>
    <mergeCell ref="C12:D12"/>
    <mergeCell ref="A13:B13"/>
    <mergeCell ref="C13:D13"/>
    <mergeCell ref="A14:B14"/>
    <mergeCell ref="C14:D14"/>
    <mergeCell ref="A4:B4"/>
    <mergeCell ref="C4:D4"/>
    <mergeCell ref="A5:B5"/>
    <mergeCell ref="C5:D5"/>
    <mergeCell ref="A7:B7"/>
    <mergeCell ref="C7:D7"/>
    <mergeCell ref="A6:B6"/>
    <mergeCell ref="A30:B30"/>
    <mergeCell ref="C30:D30"/>
    <mergeCell ref="A31:B31"/>
    <mergeCell ref="C31:D31"/>
    <mergeCell ref="A32:B32"/>
    <mergeCell ref="C32:D32"/>
    <mergeCell ref="A15:B15"/>
    <mergeCell ref="C15:D15"/>
    <mergeCell ref="A16:B16"/>
    <mergeCell ref="C16:D16"/>
    <mergeCell ref="A18:B18"/>
    <mergeCell ref="C6:D6"/>
    <mergeCell ref="A17:B17"/>
    <mergeCell ref="C17:D17"/>
    <mergeCell ref="A71:B71"/>
    <mergeCell ref="C71:D71"/>
    <mergeCell ref="A72:B72"/>
    <mergeCell ref="C72:D72"/>
    <mergeCell ref="A68:B68"/>
    <mergeCell ref="C68:D68"/>
    <mergeCell ref="A69:B69"/>
    <mergeCell ref="C69:D69"/>
    <mergeCell ref="A70:B70"/>
    <mergeCell ref="C70:D70"/>
    <mergeCell ref="A91:B91"/>
    <mergeCell ref="C91:D91"/>
    <mergeCell ref="A92:B92"/>
    <mergeCell ref="C92:D92"/>
    <mergeCell ref="A93:B93"/>
    <mergeCell ref="A88:B88"/>
    <mergeCell ref="C88:D88"/>
    <mergeCell ref="A89:B89"/>
    <mergeCell ref="C89:D89"/>
    <mergeCell ref="A90:B90"/>
    <mergeCell ref="C90:D90"/>
    <mergeCell ref="C116:D116"/>
    <mergeCell ref="C115:D115"/>
    <mergeCell ref="A110:B110"/>
    <mergeCell ref="C110:D110"/>
    <mergeCell ref="A111:B111"/>
    <mergeCell ref="C111:D111"/>
    <mergeCell ref="A112:B112"/>
    <mergeCell ref="C112:D112"/>
    <mergeCell ref="A115:B115"/>
    <mergeCell ref="C183:D183"/>
    <mergeCell ref="A143:B143"/>
    <mergeCell ref="C143:D143"/>
    <mergeCell ref="A144:B144"/>
    <mergeCell ref="C144:D144"/>
    <mergeCell ref="A146:B146"/>
    <mergeCell ref="C146:D146"/>
    <mergeCell ref="A140:B140"/>
    <mergeCell ref="C140:D140"/>
    <mergeCell ref="A141:B141"/>
    <mergeCell ref="C141:D141"/>
    <mergeCell ref="A142:B142"/>
    <mergeCell ref="C142:D142"/>
    <mergeCell ref="A162:B162"/>
    <mergeCell ref="C162:D162"/>
    <mergeCell ref="A163:B163"/>
    <mergeCell ref="C163:D163"/>
    <mergeCell ref="A164:B164"/>
    <mergeCell ref="C164:D164"/>
    <mergeCell ref="A165:B165"/>
    <mergeCell ref="A159:B159"/>
    <mergeCell ref="C159:D159"/>
    <mergeCell ref="A160:B160"/>
    <mergeCell ref="C160:D160"/>
    <mergeCell ref="A161:B161"/>
    <mergeCell ref="C161:D161"/>
    <mergeCell ref="A238:B238"/>
    <mergeCell ref="C238:D238"/>
    <mergeCell ref="A239:B239"/>
    <mergeCell ref="C239:D239"/>
    <mergeCell ref="A240:B240"/>
    <mergeCell ref="C240:D240"/>
    <mergeCell ref="A201:B201"/>
    <mergeCell ref="C201:D201"/>
    <mergeCell ref="A202:B202"/>
    <mergeCell ref="C202:D202"/>
    <mergeCell ref="A203:B203"/>
    <mergeCell ref="C203:D203"/>
    <mergeCell ref="A204:B204"/>
    <mergeCell ref="C204:D204"/>
    <mergeCell ref="A205:B205"/>
    <mergeCell ref="C205:D205"/>
    <mergeCell ref="A223:B223"/>
    <mergeCell ref="C223:D223"/>
    <mergeCell ref="A224:B224"/>
    <mergeCell ref="C224:D224"/>
    <mergeCell ref="A220:B220"/>
    <mergeCell ref="C220:D220"/>
    <mergeCell ref="A221:B221"/>
    <mergeCell ref="C221:D221"/>
    <mergeCell ref="A251:B251"/>
    <mergeCell ref="C251:D251"/>
    <mergeCell ref="A252:B252"/>
    <mergeCell ref="C252:D252"/>
    <mergeCell ref="A253:B253"/>
    <mergeCell ref="C253:D253"/>
    <mergeCell ref="A241:B241"/>
    <mergeCell ref="C241:D241"/>
    <mergeCell ref="A242:B242"/>
    <mergeCell ref="C242:D242"/>
    <mergeCell ref="A243:B243"/>
    <mergeCell ref="C243:D243"/>
    <mergeCell ref="A244:B244"/>
    <mergeCell ref="C244:D244"/>
    <mergeCell ref="A254:B254"/>
    <mergeCell ref="C254:D254"/>
    <mergeCell ref="A255:B255"/>
    <mergeCell ref="C255:D255"/>
    <mergeCell ref="A257:B257"/>
    <mergeCell ref="C257:D257"/>
    <mergeCell ref="A256:B256"/>
    <mergeCell ref="C256:D256"/>
    <mergeCell ref="A271:B271"/>
    <mergeCell ref="C271:D271"/>
    <mergeCell ref="A294:B294"/>
    <mergeCell ref="C294:D294"/>
    <mergeCell ref="A295:B295"/>
    <mergeCell ref="C295:D295"/>
    <mergeCell ref="A296:B296"/>
    <mergeCell ref="C296:D296"/>
    <mergeCell ref="A297:B297"/>
    <mergeCell ref="C297:D297"/>
    <mergeCell ref="C272:D272"/>
    <mergeCell ref="A273:B273"/>
    <mergeCell ref="C273:D273"/>
    <mergeCell ref="A272:B272"/>
    <mergeCell ref="A323:B323"/>
    <mergeCell ref="C323:D323"/>
    <mergeCell ref="A324:B324"/>
    <mergeCell ref="C324:D324"/>
    <mergeCell ref="A311:B311"/>
    <mergeCell ref="C311:D311"/>
    <mergeCell ref="A312:B312"/>
    <mergeCell ref="C312:D312"/>
    <mergeCell ref="A313:B313"/>
    <mergeCell ref="C313:D313"/>
    <mergeCell ref="A314:B314"/>
    <mergeCell ref="C314:D314"/>
    <mergeCell ref="A315:B315"/>
    <mergeCell ref="C315:D315"/>
    <mergeCell ref="A333:B333"/>
    <mergeCell ref="C333:D333"/>
    <mergeCell ref="A334:B334"/>
    <mergeCell ref="C334:D334"/>
    <mergeCell ref="A335:B335"/>
    <mergeCell ref="C335:D335"/>
    <mergeCell ref="A325:B325"/>
    <mergeCell ref="C325:D325"/>
    <mergeCell ref="A326:B326"/>
    <mergeCell ref="C326:D326"/>
    <mergeCell ref="A327:B327"/>
    <mergeCell ref="C327:D327"/>
    <mergeCell ref="A328:B328"/>
    <mergeCell ref="C328:D328"/>
    <mergeCell ref="A316:B316"/>
    <mergeCell ref="C316:D316"/>
    <mergeCell ref="A317:B317"/>
    <mergeCell ref="C317:D317"/>
    <mergeCell ref="A322:B322"/>
    <mergeCell ref="C322:D322"/>
    <mergeCell ref="A345:B345"/>
    <mergeCell ref="C345:D345"/>
    <mergeCell ref="A346:B346"/>
    <mergeCell ref="C346:D346"/>
    <mergeCell ref="A347:B347"/>
    <mergeCell ref="C347:D347"/>
    <mergeCell ref="A336:B336"/>
    <mergeCell ref="C336:D336"/>
    <mergeCell ref="A337:B337"/>
    <mergeCell ref="C337:D337"/>
    <mergeCell ref="A338:B338"/>
    <mergeCell ref="C338:D338"/>
    <mergeCell ref="A339:B339"/>
    <mergeCell ref="C339:D339"/>
    <mergeCell ref="A359:B359"/>
    <mergeCell ref="C359:D359"/>
    <mergeCell ref="A360:B360"/>
    <mergeCell ref="C360:D360"/>
    <mergeCell ref="A361:B361"/>
    <mergeCell ref="C361:D361"/>
    <mergeCell ref="A348:B348"/>
    <mergeCell ref="C348:D348"/>
    <mergeCell ref="A349:B349"/>
    <mergeCell ref="C349:D349"/>
    <mergeCell ref="A350:B350"/>
    <mergeCell ref="C350:D350"/>
    <mergeCell ref="A351:B351"/>
    <mergeCell ref="C351:D351"/>
    <mergeCell ref="A371:B371"/>
    <mergeCell ref="C371:D371"/>
    <mergeCell ref="A372:B372"/>
    <mergeCell ref="C372:D372"/>
    <mergeCell ref="A373:B373"/>
    <mergeCell ref="C373:D373"/>
    <mergeCell ref="A362:B362"/>
    <mergeCell ref="C362:D362"/>
    <mergeCell ref="A363:B363"/>
    <mergeCell ref="C363:D363"/>
    <mergeCell ref="A364:B364"/>
    <mergeCell ref="C364:D364"/>
    <mergeCell ref="A365:B365"/>
    <mergeCell ref="C365:D365"/>
    <mergeCell ref="A383:B383"/>
    <mergeCell ref="C383:D383"/>
    <mergeCell ref="A384:B384"/>
    <mergeCell ref="C384:D384"/>
    <mergeCell ref="A385:B385"/>
    <mergeCell ref="C385:D385"/>
    <mergeCell ref="A374:B374"/>
    <mergeCell ref="C374:D374"/>
    <mergeCell ref="A375:B375"/>
    <mergeCell ref="C375:D375"/>
    <mergeCell ref="A376:B376"/>
    <mergeCell ref="C376:D376"/>
    <mergeCell ref="A377:B377"/>
    <mergeCell ref="C377:D377"/>
    <mergeCell ref="A394:B394"/>
    <mergeCell ref="C394:D394"/>
    <mergeCell ref="A395:B395"/>
    <mergeCell ref="C395:D395"/>
    <mergeCell ref="A396:B396"/>
    <mergeCell ref="C396:D396"/>
    <mergeCell ref="A386:B386"/>
    <mergeCell ref="C386:D386"/>
    <mergeCell ref="A387:B387"/>
    <mergeCell ref="C387:D387"/>
    <mergeCell ref="A388:B388"/>
    <mergeCell ref="C388:D388"/>
    <mergeCell ref="A389:B389"/>
    <mergeCell ref="C389:D389"/>
    <mergeCell ref="C414:D414"/>
    <mergeCell ref="A415:B415"/>
    <mergeCell ref="C415:D415"/>
    <mergeCell ref="A416:B416"/>
    <mergeCell ref="C416:D416"/>
    <mergeCell ref="A397:B397"/>
    <mergeCell ref="C397:D397"/>
    <mergeCell ref="A398:B398"/>
    <mergeCell ref="C398:D398"/>
    <mergeCell ref="A399:B399"/>
    <mergeCell ref="C399:D399"/>
    <mergeCell ref="A400:B400"/>
    <mergeCell ref="A455:B455"/>
    <mergeCell ref="C455:D455"/>
    <mergeCell ref="A456:B456"/>
    <mergeCell ref="C456:D456"/>
    <mergeCell ref="A452:B452"/>
    <mergeCell ref="C452:D452"/>
    <mergeCell ref="A453:B453"/>
    <mergeCell ref="C453:D453"/>
    <mergeCell ref="A454:B454"/>
    <mergeCell ref="C454:D454"/>
    <mergeCell ref="A497:B497"/>
    <mergeCell ref="C497:D497"/>
    <mergeCell ref="A498:B498"/>
    <mergeCell ref="C498:D498"/>
    <mergeCell ref="A457:B457"/>
    <mergeCell ref="C457:D457"/>
    <mergeCell ref="A458:B458"/>
    <mergeCell ref="C458:D458"/>
    <mergeCell ref="A475:B475"/>
    <mergeCell ref="C475:D475"/>
    <mergeCell ref="A476:B476"/>
    <mergeCell ref="C476:D476"/>
    <mergeCell ref="A472:B472"/>
    <mergeCell ref="C472:D472"/>
    <mergeCell ref="A473:B473"/>
    <mergeCell ref="C473:D473"/>
    <mergeCell ref="A474:B474"/>
    <mergeCell ref="C474:D474"/>
    <mergeCell ref="A477:B477"/>
    <mergeCell ref="C477:D477"/>
    <mergeCell ref="A478:B478"/>
    <mergeCell ref="C478:D478"/>
    <mergeCell ref="A495:B495"/>
    <mergeCell ref="C495:D495"/>
    <mergeCell ref="A496:B496"/>
    <mergeCell ref="C496:D496"/>
    <mergeCell ref="A492:B492"/>
    <mergeCell ref="C492:D492"/>
    <mergeCell ref="A493:B493"/>
    <mergeCell ref="C493:D493"/>
    <mergeCell ref="A494:B494"/>
    <mergeCell ref="C494:D494"/>
    <mergeCell ref="A517:B517"/>
    <mergeCell ref="C517:D517"/>
    <mergeCell ref="A507:B507"/>
    <mergeCell ref="C507:D507"/>
    <mergeCell ref="A508:B508"/>
    <mergeCell ref="C508:D508"/>
    <mergeCell ref="A504:B504"/>
    <mergeCell ref="C504:D504"/>
    <mergeCell ref="A505:B505"/>
    <mergeCell ref="C505:D505"/>
    <mergeCell ref="A506:B506"/>
    <mergeCell ref="C506:D506"/>
    <mergeCell ref="A509:B509"/>
    <mergeCell ref="C509:D509"/>
    <mergeCell ref="A510:B510"/>
    <mergeCell ref="C510:D510"/>
    <mergeCell ref="A518:B518"/>
    <mergeCell ref="C518:D518"/>
    <mergeCell ref="A519:B519"/>
    <mergeCell ref="C519:D519"/>
    <mergeCell ref="A520:B520"/>
    <mergeCell ref="C520:D520"/>
    <mergeCell ref="A521:B521"/>
    <mergeCell ref="C521:D521"/>
    <mergeCell ref="A532:B532"/>
    <mergeCell ref="C532:D532"/>
    <mergeCell ref="A556:B556"/>
    <mergeCell ref="C556:D556"/>
    <mergeCell ref="A557:B557"/>
    <mergeCell ref="C557:D557"/>
    <mergeCell ref="A527:B527"/>
    <mergeCell ref="C527:D527"/>
    <mergeCell ref="A528:B528"/>
    <mergeCell ref="C528:D528"/>
    <mergeCell ref="A529:B529"/>
    <mergeCell ref="C529:D529"/>
    <mergeCell ref="A533:B533"/>
    <mergeCell ref="C533:D533"/>
    <mergeCell ref="A551:B551"/>
    <mergeCell ref="C551:D551"/>
    <mergeCell ref="A552:B552"/>
    <mergeCell ref="C552:D552"/>
    <mergeCell ref="A553:B553"/>
    <mergeCell ref="C553:D553"/>
    <mergeCell ref="A542:B542"/>
    <mergeCell ref="C542:D542"/>
    <mergeCell ref="A543:B543"/>
    <mergeCell ref="C543:D543"/>
    <mergeCell ref="A544:B544"/>
    <mergeCell ref="C544:D544"/>
    <mergeCell ref="A545:B545"/>
    <mergeCell ref="C545:D545"/>
    <mergeCell ref="A55:B55"/>
    <mergeCell ref="C55:D55"/>
    <mergeCell ref="A74:B74"/>
    <mergeCell ref="C74:D74"/>
    <mergeCell ref="A73:B73"/>
    <mergeCell ref="C73:D73"/>
    <mergeCell ref="A554:B554"/>
    <mergeCell ref="C554:D554"/>
    <mergeCell ref="A555:B555"/>
    <mergeCell ref="C555:D555"/>
    <mergeCell ref="A539:B539"/>
    <mergeCell ref="C539:D539"/>
    <mergeCell ref="A540:B540"/>
    <mergeCell ref="C540:D540"/>
    <mergeCell ref="A541:B541"/>
    <mergeCell ref="C541:D541"/>
    <mergeCell ref="A530:B530"/>
    <mergeCell ref="C530:D530"/>
    <mergeCell ref="A531:B531"/>
    <mergeCell ref="C531:D531"/>
    <mergeCell ref="A515:B515"/>
    <mergeCell ref="C515:D515"/>
    <mergeCell ref="A516:B516"/>
    <mergeCell ref="C516:D516"/>
    <mergeCell ref="A35:B35"/>
    <mergeCell ref="C35:D35"/>
    <mergeCell ref="A54:B54"/>
    <mergeCell ref="C54:D54"/>
    <mergeCell ref="C18:D18"/>
    <mergeCell ref="A36:B36"/>
    <mergeCell ref="C36:D36"/>
    <mergeCell ref="A52:B52"/>
    <mergeCell ref="C52:D52"/>
    <mergeCell ref="A53:B53"/>
    <mergeCell ref="C53:D53"/>
    <mergeCell ref="A49:B49"/>
    <mergeCell ref="C49:D49"/>
    <mergeCell ref="A50:B50"/>
    <mergeCell ref="C50:D50"/>
    <mergeCell ref="A51:B51"/>
    <mergeCell ref="C51:D51"/>
    <mergeCell ref="A33:B33"/>
    <mergeCell ref="C33:D33"/>
    <mergeCell ref="A34:B34"/>
    <mergeCell ref="C34:D34"/>
    <mergeCell ref="A126:B126"/>
    <mergeCell ref="C126:D126"/>
    <mergeCell ref="A127:B127"/>
    <mergeCell ref="C127:D127"/>
    <mergeCell ref="A145:B145"/>
    <mergeCell ref="C145:D145"/>
    <mergeCell ref="C93:D93"/>
    <mergeCell ref="A94:B94"/>
    <mergeCell ref="C94:D94"/>
    <mergeCell ref="A124:B124"/>
    <mergeCell ref="C124:D124"/>
    <mergeCell ref="A125:B125"/>
    <mergeCell ref="C125:D125"/>
    <mergeCell ref="A121:B121"/>
    <mergeCell ref="C121:D121"/>
    <mergeCell ref="A122:B122"/>
    <mergeCell ref="C122:D122"/>
    <mergeCell ref="A123:B123"/>
    <mergeCell ref="C123:D123"/>
    <mergeCell ref="A113:B113"/>
    <mergeCell ref="C113:D113"/>
    <mergeCell ref="A114:B114"/>
    <mergeCell ref="C114:D114"/>
    <mergeCell ref="A116:B116"/>
    <mergeCell ref="A207:B207"/>
    <mergeCell ref="C207:D207"/>
    <mergeCell ref="A225:B225"/>
    <mergeCell ref="C225:D225"/>
    <mergeCell ref="A226:B226"/>
    <mergeCell ref="C226:D226"/>
    <mergeCell ref="C165:D165"/>
    <mergeCell ref="A186:B186"/>
    <mergeCell ref="C186:D186"/>
    <mergeCell ref="A187:B187"/>
    <mergeCell ref="C187:D187"/>
    <mergeCell ref="A206:B206"/>
    <mergeCell ref="C206:D206"/>
    <mergeCell ref="A222:B222"/>
    <mergeCell ref="C222:D222"/>
    <mergeCell ref="A184:B184"/>
    <mergeCell ref="C184:D184"/>
    <mergeCell ref="A185:B185"/>
    <mergeCell ref="C185:D185"/>
    <mergeCell ref="A181:B181"/>
    <mergeCell ref="C181:D181"/>
    <mergeCell ref="A182:B182"/>
    <mergeCell ref="C182:D182"/>
    <mergeCell ref="A183:B183"/>
    <mergeCell ref="A291:B291"/>
    <mergeCell ref="C291:D291"/>
    <mergeCell ref="A292:B292"/>
    <mergeCell ref="C292:D292"/>
    <mergeCell ref="A293:B293"/>
    <mergeCell ref="C293:D293"/>
    <mergeCell ref="A274:B274"/>
    <mergeCell ref="C274:D274"/>
    <mergeCell ref="A275:B275"/>
    <mergeCell ref="C275:D275"/>
    <mergeCell ref="A439:B439"/>
    <mergeCell ref="C439:D439"/>
    <mergeCell ref="A440:B440"/>
    <mergeCell ref="C440:D440"/>
    <mergeCell ref="C400:D400"/>
    <mergeCell ref="A419:B419"/>
    <mergeCell ref="C419:D419"/>
    <mergeCell ref="A420:B420"/>
    <mergeCell ref="C420:D420"/>
    <mergeCell ref="A437:B437"/>
    <mergeCell ref="C437:D437"/>
    <mergeCell ref="A438:B438"/>
    <mergeCell ref="C438:D438"/>
    <mergeCell ref="A434:B434"/>
    <mergeCell ref="C434:D434"/>
    <mergeCell ref="A435:B435"/>
    <mergeCell ref="C435:D435"/>
    <mergeCell ref="A436:B436"/>
    <mergeCell ref="C436:D436"/>
    <mergeCell ref="A417:B417"/>
    <mergeCell ref="C417:D417"/>
    <mergeCell ref="A418:B418"/>
    <mergeCell ref="C418:D418"/>
    <mergeCell ref="A414:B414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2816E-75F4-4A85-8BEA-F1B2C224BE13}">
  <dimension ref="A1:B5"/>
  <sheetViews>
    <sheetView workbookViewId="0">
      <selection activeCell="D6" sqref="D6"/>
    </sheetView>
  </sheetViews>
  <sheetFormatPr defaultRowHeight="15" x14ac:dyDescent="0.25"/>
  <cols>
    <col min="1" max="1" width="9.7109375" customWidth="1"/>
  </cols>
  <sheetData>
    <row r="1" spans="1:2" x14ac:dyDescent="0.25">
      <c r="A1" t="str">
        <f>References!$C$2</f>
        <v>Direct</v>
      </c>
      <c r="B1">
        <v>2</v>
      </c>
    </row>
    <row r="2" spans="1:2" x14ac:dyDescent="0.25">
      <c r="A2" t="str">
        <f>References!$C$3</f>
        <v>Temp</v>
      </c>
      <c r="B2">
        <v>1</v>
      </c>
    </row>
    <row r="3" spans="1:2" x14ac:dyDescent="0.25">
      <c r="A3" t="str">
        <f>References!$C$4</f>
        <v>SelfDirect</v>
      </c>
      <c r="B3">
        <v>2</v>
      </c>
    </row>
    <row r="4" spans="1:2" x14ac:dyDescent="0.25">
      <c r="A4" t="str">
        <f>References!$C$5</f>
        <v>SelfTemp</v>
      </c>
      <c r="B4">
        <v>1</v>
      </c>
    </row>
    <row r="5" spans="1:2" x14ac:dyDescent="0.25">
      <c r="A5" t="s">
        <v>46</v>
      </c>
      <c r="B5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43807-24C5-45C4-B4ED-E25E78DB1BC9}">
  <dimension ref="A2:H22"/>
  <sheetViews>
    <sheetView workbookViewId="0">
      <selection activeCell="G13" sqref="G13"/>
    </sheetView>
  </sheetViews>
  <sheetFormatPr defaultRowHeight="15" x14ac:dyDescent="0.25"/>
  <cols>
    <col min="2" max="2" width="11" bestFit="1" customWidth="1"/>
    <col min="3" max="3" width="9.7109375" bestFit="1" customWidth="1"/>
    <col min="5" max="5" width="12.85546875" bestFit="1" customWidth="1"/>
  </cols>
  <sheetData>
    <row r="2" spans="1:8" x14ac:dyDescent="0.25">
      <c r="A2" t="s">
        <v>46</v>
      </c>
      <c r="B2" t="s">
        <v>73</v>
      </c>
      <c r="C2" t="s">
        <v>10</v>
      </c>
      <c r="D2" t="s">
        <v>135</v>
      </c>
      <c r="E2" t="s">
        <v>134</v>
      </c>
      <c r="F2" t="s">
        <v>1</v>
      </c>
      <c r="G2" s="176" t="s">
        <v>83</v>
      </c>
      <c r="H2" s="178" t="s">
        <v>86</v>
      </c>
    </row>
    <row r="3" spans="1:8" x14ac:dyDescent="0.25">
      <c r="A3" t="s">
        <v>49</v>
      </c>
      <c r="B3" t="s">
        <v>74</v>
      </c>
      <c r="C3" t="s">
        <v>11</v>
      </c>
      <c r="D3" t="s">
        <v>136</v>
      </c>
      <c r="E3" t="s">
        <v>138</v>
      </c>
      <c r="F3" t="s">
        <v>82</v>
      </c>
      <c r="G3" s="176" t="s">
        <v>99</v>
      </c>
      <c r="H3" s="178" t="s">
        <v>87</v>
      </c>
    </row>
    <row r="4" spans="1:8" x14ac:dyDescent="0.25">
      <c r="A4" t="s">
        <v>71</v>
      </c>
      <c r="B4" t="s">
        <v>22</v>
      </c>
      <c r="C4" t="s">
        <v>75</v>
      </c>
      <c r="D4" t="s">
        <v>137</v>
      </c>
      <c r="E4" t="s">
        <v>139</v>
      </c>
      <c r="F4" t="s">
        <v>83</v>
      </c>
      <c r="G4" s="176" t="s">
        <v>89</v>
      </c>
      <c r="H4" s="178" t="s">
        <v>88</v>
      </c>
    </row>
    <row r="5" spans="1:8" x14ac:dyDescent="0.25">
      <c r="A5" t="s">
        <v>47</v>
      </c>
      <c r="C5" t="s">
        <v>44</v>
      </c>
      <c r="E5" t="s">
        <v>77</v>
      </c>
      <c r="F5" t="s">
        <v>85</v>
      </c>
      <c r="G5" s="176" t="s">
        <v>90</v>
      </c>
    </row>
    <row r="6" spans="1:8" x14ac:dyDescent="0.25">
      <c r="A6" t="s">
        <v>51</v>
      </c>
      <c r="E6" t="s">
        <v>140</v>
      </c>
      <c r="F6" t="s">
        <v>84</v>
      </c>
      <c r="G6" s="177" t="s">
        <v>91</v>
      </c>
      <c r="H6" s="178"/>
    </row>
    <row r="7" spans="1:8" x14ac:dyDescent="0.25">
      <c r="A7" t="s">
        <v>48</v>
      </c>
      <c r="E7" t="s">
        <v>78</v>
      </c>
      <c r="G7" s="176" t="s">
        <v>89</v>
      </c>
    </row>
    <row r="8" spans="1:8" x14ac:dyDescent="0.25">
      <c r="A8" t="s">
        <v>53</v>
      </c>
      <c r="E8" t="s">
        <v>141</v>
      </c>
      <c r="G8" s="176" t="s">
        <v>90</v>
      </c>
      <c r="H8" s="178"/>
    </row>
    <row r="9" spans="1:8" x14ac:dyDescent="0.25">
      <c r="A9" t="s">
        <v>72</v>
      </c>
      <c r="E9" t="s">
        <v>79</v>
      </c>
      <c r="G9" s="176" t="s">
        <v>89</v>
      </c>
      <c r="H9" s="178"/>
    </row>
    <row r="10" spans="1:8" x14ac:dyDescent="0.25">
      <c r="E10" t="s">
        <v>20</v>
      </c>
      <c r="G10" s="176" t="s">
        <v>90</v>
      </c>
    </row>
    <row r="11" spans="1:8" x14ac:dyDescent="0.25">
      <c r="E11" t="s">
        <v>80</v>
      </c>
      <c r="G11" s="177" t="s">
        <v>91</v>
      </c>
    </row>
    <row r="12" spans="1:8" x14ac:dyDescent="0.25">
      <c r="E12" t="s">
        <v>20</v>
      </c>
    </row>
    <row r="22" ht="12" customHeight="1" x14ac:dyDescent="0.25"/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74152-6FED-4190-AF8C-7CDBAF83DA1D}">
  <sheetPr>
    <pageSetUpPr fitToPage="1"/>
  </sheetPr>
  <dimension ref="A1:AJ60"/>
  <sheetViews>
    <sheetView workbookViewId="0">
      <selection activeCell="AA49" sqref="AA49:AJ59"/>
    </sheetView>
  </sheetViews>
  <sheetFormatPr defaultRowHeight="15" x14ac:dyDescent="0.25"/>
  <cols>
    <col min="1" max="1" width="9.7109375" bestFit="1" customWidth="1"/>
    <col min="2" max="2" width="4.85546875" bestFit="1" customWidth="1"/>
    <col min="3" max="3" width="3.5703125" bestFit="1" customWidth="1"/>
    <col min="4" max="4" width="5.85546875" bestFit="1" customWidth="1"/>
    <col min="5" max="5" width="6.5703125" bestFit="1" customWidth="1"/>
    <col min="6" max="7" width="8.140625" customWidth="1"/>
    <col min="8" max="8" width="8.28515625" customWidth="1"/>
    <col min="9" max="9" width="5.85546875" bestFit="1" customWidth="1"/>
    <col min="10" max="10" width="6.5703125" style="126" bestFit="1" customWidth="1"/>
    <col min="11" max="12" width="1.28515625" style="126" customWidth="1"/>
    <col min="13" max="13" width="1.42578125" customWidth="1"/>
    <col min="14" max="14" width="7.5703125" bestFit="1" customWidth="1"/>
    <col min="15" max="15" width="4.85546875" bestFit="1" customWidth="1"/>
    <col min="16" max="16" width="3.5703125" bestFit="1" customWidth="1"/>
    <col min="17" max="17" width="5.85546875" bestFit="1" customWidth="1"/>
    <col min="18" max="18" width="6.5703125" bestFit="1" customWidth="1"/>
    <col min="21" max="21" width="3.5703125" bestFit="1" customWidth="1"/>
    <col min="22" max="22" width="5.85546875" bestFit="1" customWidth="1"/>
    <col min="23" max="23" width="6.5703125" bestFit="1" customWidth="1"/>
    <col min="24" max="24" width="1.42578125" customWidth="1"/>
    <col min="25" max="25" width="1.28515625" customWidth="1"/>
    <col min="26" max="26" width="1.42578125" customWidth="1"/>
    <col min="27" max="27" width="9.42578125" bestFit="1" customWidth="1"/>
    <col min="28" max="28" width="4.85546875" bestFit="1" customWidth="1"/>
    <col min="29" max="29" width="3.5703125" bestFit="1" customWidth="1"/>
    <col min="30" max="30" width="5.85546875" bestFit="1" customWidth="1"/>
    <col min="31" max="31" width="6.5703125" bestFit="1" customWidth="1"/>
    <col min="34" max="34" width="3.5703125" bestFit="1" customWidth="1"/>
    <col min="35" max="35" width="5.85546875" bestFit="1" customWidth="1"/>
    <col min="36" max="36" width="6.5703125" bestFit="1" customWidth="1"/>
  </cols>
  <sheetData>
    <row r="1" spans="1:36" ht="28.5" x14ac:dyDescent="0.45">
      <c r="A1" s="237" t="s">
        <v>101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  <c r="Y1" s="237"/>
      <c r="Z1" s="237"/>
      <c r="AA1" s="237"/>
      <c r="AB1" s="237"/>
      <c r="AC1" s="237"/>
      <c r="AD1" s="237"/>
      <c r="AE1" s="237"/>
      <c r="AF1" s="237"/>
      <c r="AG1" s="237"/>
      <c r="AH1" s="237"/>
      <c r="AI1" s="237"/>
      <c r="AJ1" s="237"/>
    </row>
    <row r="2" spans="1:36" ht="15.75" thickBot="1" x14ac:dyDescent="0.3"/>
    <row r="3" spans="1:36" ht="15.75" x14ac:dyDescent="0.25">
      <c r="E3" s="224" t="str">
        <f>References!$F$2</f>
        <v>Name</v>
      </c>
      <c r="F3" s="225"/>
      <c r="G3" s="222" t="s">
        <v>5</v>
      </c>
      <c r="H3" s="223"/>
      <c r="R3" s="224" t="str">
        <f>References!$F$2</f>
        <v>Name</v>
      </c>
      <c r="S3" s="225"/>
      <c r="T3" s="222" t="s">
        <v>6</v>
      </c>
      <c r="U3" s="223"/>
      <c r="W3" s="126"/>
      <c r="X3" s="126"/>
      <c r="Y3" s="126"/>
      <c r="AA3" s="152"/>
      <c r="AB3" s="153"/>
      <c r="AC3" s="13"/>
      <c r="AD3" s="13"/>
      <c r="AE3" s="13"/>
      <c r="AF3" s="13"/>
      <c r="AG3" s="13"/>
      <c r="AH3" s="13"/>
      <c r="AI3" s="13"/>
      <c r="AJ3" s="154"/>
    </row>
    <row r="4" spans="1:36" ht="15.75" x14ac:dyDescent="0.25">
      <c r="E4" s="212" t="str">
        <f>References!$F$3</f>
        <v>Class</v>
      </c>
      <c r="F4" s="213"/>
      <c r="G4" s="218" t="str">
        <f>References!$D$2</f>
        <v>Brawler</v>
      </c>
      <c r="H4" s="219"/>
      <c r="R4" s="212" t="str">
        <f>References!$F$3</f>
        <v>Class</v>
      </c>
      <c r="S4" s="213"/>
      <c r="T4" s="218" t="str">
        <f>References!$D$2</f>
        <v>Brawler</v>
      </c>
      <c r="U4" s="219"/>
      <c r="W4" s="126"/>
      <c r="X4" s="126"/>
      <c r="Y4" s="126"/>
      <c r="AA4" s="152"/>
      <c r="AB4" s="153"/>
      <c r="AC4" s="13"/>
      <c r="AD4" s="13"/>
      <c r="AE4" s="13"/>
      <c r="AF4" s="13"/>
      <c r="AG4" s="13"/>
      <c r="AH4" s="13"/>
      <c r="AI4" s="13"/>
      <c r="AJ4" s="154"/>
    </row>
    <row r="5" spans="1:36" ht="15.75" x14ac:dyDescent="0.25">
      <c r="E5" s="212" t="str">
        <f>References!$F$4</f>
        <v>Type</v>
      </c>
      <c r="F5" s="213"/>
      <c r="G5" s="218" t="str">
        <f>References!$B$2</f>
        <v>Offensive</v>
      </c>
      <c r="H5" s="219"/>
      <c r="R5" s="212" t="str">
        <f>References!$F$4</f>
        <v>Type</v>
      </c>
      <c r="S5" s="213"/>
      <c r="T5" s="218" t="str">
        <f>References!$B$3</f>
        <v>Defensive</v>
      </c>
      <c r="U5" s="219"/>
      <c r="W5" s="126"/>
      <c r="X5" s="126"/>
      <c r="Y5" s="126"/>
      <c r="AA5" s="152"/>
      <c r="AB5" s="153"/>
      <c r="AC5" s="13"/>
      <c r="AD5" s="13"/>
      <c r="AE5" s="13"/>
      <c r="AF5" s="13"/>
      <c r="AG5" s="13"/>
      <c r="AH5" s="13"/>
      <c r="AI5" s="13"/>
      <c r="AJ5" s="154"/>
    </row>
    <row r="6" spans="1:36" ht="15.75" x14ac:dyDescent="0.25">
      <c r="E6" s="212" t="str">
        <f>References!$F$5</f>
        <v>Nb. Targets</v>
      </c>
      <c r="F6" s="213"/>
      <c r="G6" s="218">
        <v>1</v>
      </c>
      <c r="H6" s="219"/>
      <c r="R6" s="212" t="str">
        <f>References!$F$5</f>
        <v>Nb. Targets</v>
      </c>
      <c r="S6" s="213"/>
      <c r="T6" s="218">
        <v>1</v>
      </c>
      <c r="U6" s="219"/>
      <c r="W6" s="126"/>
      <c r="X6" s="126"/>
      <c r="Y6" s="126"/>
      <c r="AA6" s="152"/>
      <c r="AB6" s="153"/>
      <c r="AC6" s="13"/>
      <c r="AD6" s="13"/>
      <c r="AE6" s="13"/>
      <c r="AF6" s="13"/>
      <c r="AG6" s="13"/>
      <c r="AH6" s="13"/>
      <c r="AI6" s="13"/>
      <c r="AJ6" s="154"/>
    </row>
    <row r="7" spans="1:36" ht="16.5" thickBot="1" x14ac:dyDescent="0.3">
      <c r="E7" s="214" t="str">
        <f>References!$F$6</f>
        <v>Energy cost</v>
      </c>
      <c r="F7" s="215"/>
      <c r="G7" s="216">
        <v>1</v>
      </c>
      <c r="H7" s="217"/>
      <c r="R7" s="214" t="str">
        <f>References!$F$6</f>
        <v>Energy cost</v>
      </c>
      <c r="S7" s="215"/>
      <c r="T7" s="216">
        <v>2</v>
      </c>
      <c r="U7" s="217"/>
      <c r="W7" s="126"/>
      <c r="X7" s="126"/>
      <c r="Y7" s="126"/>
      <c r="AA7" s="152"/>
      <c r="AB7" s="153"/>
      <c r="AC7" s="13"/>
      <c r="AD7" s="13"/>
      <c r="AE7" s="13"/>
      <c r="AF7" s="13"/>
      <c r="AG7" s="13"/>
      <c r="AH7" s="13"/>
      <c r="AI7" s="13"/>
      <c r="AJ7" s="154"/>
    </row>
    <row r="8" spans="1:36" ht="16.5" thickBot="1" x14ac:dyDescent="0.3">
      <c r="A8" s="13"/>
      <c r="B8" s="13"/>
      <c r="C8" s="13"/>
      <c r="D8" s="13"/>
      <c r="E8" s="154"/>
      <c r="F8" s="156"/>
      <c r="G8" s="156"/>
      <c r="H8" s="13"/>
      <c r="I8" s="13"/>
      <c r="J8" s="154"/>
      <c r="N8" s="13"/>
      <c r="O8" s="13"/>
      <c r="P8" s="13"/>
      <c r="Q8" s="13"/>
      <c r="R8" s="154"/>
      <c r="S8" s="156"/>
      <c r="T8" s="156"/>
      <c r="U8" s="13"/>
      <c r="V8" s="13"/>
      <c r="W8" s="154"/>
      <c r="X8" s="126"/>
      <c r="Y8" s="126"/>
      <c r="AA8" s="152"/>
      <c r="AB8" s="153"/>
      <c r="AC8" s="13"/>
      <c r="AD8" s="13"/>
      <c r="AE8" s="13"/>
      <c r="AF8" s="13"/>
      <c r="AG8" s="13"/>
      <c r="AH8" s="13"/>
      <c r="AI8" s="13"/>
      <c r="AJ8" s="154"/>
    </row>
    <row r="9" spans="1:36" ht="16.5" thickBot="1" x14ac:dyDescent="0.3">
      <c r="A9" s="133" t="str">
        <f>References!$G$2</f>
        <v>Type</v>
      </c>
      <c r="B9" s="135" t="str">
        <f>References!$G$3</f>
        <v>Stat</v>
      </c>
      <c r="C9" s="133" t="str">
        <f>References!$G$4</f>
        <v>Nb</v>
      </c>
      <c r="D9" s="131" t="str">
        <f>References!$G$5</f>
        <v>Turns</v>
      </c>
      <c r="E9" s="132" t="str">
        <f>References!$G$6</f>
        <v>%</v>
      </c>
      <c r="F9" s="146" t="str">
        <f>References!$G$7</f>
        <v>Nb</v>
      </c>
      <c r="G9" s="147" t="str">
        <f>References!$G$8</f>
        <v>Turns</v>
      </c>
      <c r="H9" s="133" t="str">
        <f>References!$G$9</f>
        <v>Nb</v>
      </c>
      <c r="I9" s="131" t="str">
        <f>References!$G$10</f>
        <v>Turns</v>
      </c>
      <c r="J9" s="132" t="str">
        <f>References!$G$11</f>
        <v>%</v>
      </c>
      <c r="K9" s="155"/>
      <c r="L9" s="155"/>
      <c r="N9" s="133" t="str">
        <f>References!$G$2</f>
        <v>Type</v>
      </c>
      <c r="O9" s="135" t="str">
        <f>References!$G$3</f>
        <v>Stat</v>
      </c>
      <c r="P9" s="133" t="str">
        <f>References!$G$4</f>
        <v>Nb</v>
      </c>
      <c r="Q9" s="131" t="str">
        <f>References!$G$5</f>
        <v>Turns</v>
      </c>
      <c r="R9" s="132" t="str">
        <f>References!$G$6</f>
        <v>%</v>
      </c>
      <c r="S9" s="146" t="str">
        <f>References!$G$7</f>
        <v>Nb</v>
      </c>
      <c r="T9" s="147" t="str">
        <f>References!$G$8</f>
        <v>Turns</v>
      </c>
      <c r="U9" s="133" t="str">
        <f>References!$G$9</f>
        <v>Nb</v>
      </c>
      <c r="V9" s="131" t="str">
        <f>References!$G$10</f>
        <v>Turns</v>
      </c>
      <c r="W9" s="132" t="str">
        <f>References!$G$11</f>
        <v>%</v>
      </c>
      <c r="X9" s="155"/>
      <c r="Y9" s="155"/>
      <c r="Z9" s="18"/>
      <c r="AA9" s="152"/>
      <c r="AB9" s="152"/>
      <c r="AC9" s="152"/>
      <c r="AD9" s="152"/>
      <c r="AE9" s="155"/>
      <c r="AF9" s="156"/>
      <c r="AG9" s="156"/>
      <c r="AH9" s="152"/>
      <c r="AI9" s="152"/>
      <c r="AJ9" s="155"/>
    </row>
    <row r="10" spans="1:36" ht="15.75" thickBot="1" x14ac:dyDescent="0.3">
      <c r="A10" s="137"/>
      <c r="B10" s="138"/>
      <c r="C10" s="240" t="str">
        <f>References!$H$2</f>
        <v>High initiative</v>
      </c>
      <c r="D10" s="241"/>
      <c r="E10" s="242"/>
      <c r="F10" s="243" t="str">
        <f>References!$H$3</f>
        <v>Standard</v>
      </c>
      <c r="G10" s="244"/>
      <c r="H10" s="245" t="str">
        <f>References!$H$4</f>
        <v>Low initiative</v>
      </c>
      <c r="I10" s="246"/>
      <c r="J10" s="247"/>
      <c r="K10" s="160"/>
      <c r="L10" s="160"/>
      <c r="N10" s="134"/>
      <c r="O10" s="136"/>
      <c r="P10" s="248" t="str">
        <f>References!$H$2</f>
        <v>High initiative</v>
      </c>
      <c r="Q10" s="249"/>
      <c r="R10" s="250"/>
      <c r="S10" s="251" t="str">
        <f>References!$H$3</f>
        <v>Standard</v>
      </c>
      <c r="T10" s="252"/>
      <c r="U10" s="253" t="str">
        <f>References!$H$4</f>
        <v>Low initiative</v>
      </c>
      <c r="V10" s="254"/>
      <c r="W10" s="255"/>
      <c r="X10" s="158"/>
      <c r="Y10" s="158"/>
      <c r="Z10" s="18"/>
      <c r="AA10" s="157"/>
      <c r="AB10" s="157"/>
      <c r="AC10" s="157"/>
      <c r="AD10" s="157"/>
      <c r="AE10" s="157"/>
      <c r="AF10" s="159"/>
      <c r="AG10" s="159"/>
      <c r="AH10" s="157"/>
      <c r="AI10" s="157"/>
      <c r="AJ10" s="157"/>
    </row>
    <row r="11" spans="1:36" ht="16.5" thickBot="1" x14ac:dyDescent="0.3">
      <c r="A11" s="127" t="str">
        <f>References!$C$2</f>
        <v>Direct</v>
      </c>
      <c r="B11" s="143" t="str">
        <f>References!$A$2</f>
        <v>dmg</v>
      </c>
      <c r="C11" s="127">
        <v>1</v>
      </c>
      <c r="D11" s="145"/>
      <c r="E11" s="128">
        <v>100</v>
      </c>
      <c r="F11" s="144">
        <v>2</v>
      </c>
      <c r="G11" s="145"/>
      <c r="H11" s="127">
        <v>2</v>
      </c>
      <c r="I11" s="145"/>
      <c r="J11" s="128">
        <v>100</v>
      </c>
      <c r="K11" s="148"/>
      <c r="L11" s="148"/>
      <c r="N11" s="129" t="str">
        <f>References!$C$2</f>
        <v>Direct</v>
      </c>
      <c r="O11" s="139" t="str">
        <f>References!$A$5</f>
        <v>def</v>
      </c>
      <c r="P11" s="129">
        <v>1</v>
      </c>
      <c r="Q11" s="175"/>
      <c r="R11" s="140">
        <v>100</v>
      </c>
      <c r="S11" s="141">
        <v>1</v>
      </c>
      <c r="T11" s="175"/>
      <c r="U11" s="129">
        <v>1</v>
      </c>
      <c r="V11" s="175"/>
      <c r="W11" s="140">
        <v>100</v>
      </c>
      <c r="X11" s="154"/>
      <c r="Y11" s="154"/>
      <c r="Z11" s="18"/>
      <c r="AA11" s="13"/>
      <c r="AB11" s="13"/>
      <c r="AC11" s="13"/>
      <c r="AD11" s="156"/>
      <c r="AE11" s="154"/>
      <c r="AF11" s="156"/>
      <c r="AG11" s="156"/>
      <c r="AH11" s="13"/>
      <c r="AI11" s="156"/>
      <c r="AJ11" s="154"/>
    </row>
    <row r="12" spans="1:36" ht="16.5" thickBot="1" x14ac:dyDescent="0.3">
      <c r="K12" s="148"/>
      <c r="L12" s="148"/>
      <c r="N12" s="129" t="str">
        <f>References!$C$3</f>
        <v>Temp</v>
      </c>
      <c r="O12" s="139" t="str">
        <f>References!$A$5</f>
        <v>def</v>
      </c>
      <c r="P12" s="129">
        <v>1</v>
      </c>
      <c r="Q12" s="130">
        <v>1</v>
      </c>
      <c r="R12" s="128">
        <v>100</v>
      </c>
      <c r="S12" s="141">
        <v>1</v>
      </c>
      <c r="T12" s="142">
        <v>2</v>
      </c>
      <c r="U12" s="129">
        <v>1</v>
      </c>
      <c r="V12" s="130">
        <v>3</v>
      </c>
      <c r="W12" s="128">
        <v>100</v>
      </c>
      <c r="X12" s="154"/>
      <c r="Y12" s="154"/>
      <c r="Z12" s="18"/>
      <c r="AA12" s="13"/>
      <c r="AB12" s="13"/>
      <c r="AC12" s="13"/>
      <c r="AD12" s="13"/>
      <c r="AE12" s="154"/>
      <c r="AF12" s="156"/>
      <c r="AG12" s="156"/>
      <c r="AH12" s="13"/>
      <c r="AI12" s="13"/>
      <c r="AJ12" s="154"/>
    </row>
    <row r="13" spans="1:36" x14ac:dyDescent="0.25">
      <c r="X13" s="18"/>
      <c r="Y13" s="18"/>
      <c r="Z13" s="18"/>
    </row>
    <row r="14" spans="1:36" x14ac:dyDescent="0.25">
      <c r="X14" s="18"/>
      <c r="Y14" s="18"/>
      <c r="Z14" s="18"/>
    </row>
    <row r="15" spans="1:36" x14ac:dyDescent="0.25">
      <c r="X15" s="18"/>
      <c r="Y15" s="18"/>
      <c r="Z15" s="18"/>
    </row>
    <row r="16" spans="1:36" x14ac:dyDescent="0.25">
      <c r="X16" s="18"/>
      <c r="Y16" s="18"/>
      <c r="Z16" s="18"/>
    </row>
    <row r="17" spans="1:36" ht="6" customHeight="1" x14ac:dyDescent="0.25">
      <c r="A17" s="164"/>
      <c r="B17" s="164"/>
      <c r="C17" s="164"/>
      <c r="D17" s="164"/>
      <c r="E17" s="164"/>
      <c r="F17" s="164"/>
      <c r="G17" s="164"/>
      <c r="H17" s="164"/>
      <c r="I17" s="164"/>
      <c r="J17" s="165"/>
      <c r="K17" s="165"/>
      <c r="L17" s="165"/>
      <c r="M17" s="164"/>
      <c r="N17" s="164"/>
      <c r="O17" s="164"/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64"/>
      <c r="AA17" s="164"/>
      <c r="AB17" s="164"/>
      <c r="AC17" s="164"/>
      <c r="AD17" s="164"/>
      <c r="AE17" s="164"/>
      <c r="AF17" s="164"/>
      <c r="AG17" s="164"/>
      <c r="AH17" s="164"/>
      <c r="AI17" s="164"/>
      <c r="AJ17" s="164"/>
    </row>
    <row r="18" spans="1:36" ht="15.75" thickBot="1" x14ac:dyDescent="0.3">
      <c r="X18" s="18"/>
      <c r="Y18" s="18"/>
      <c r="Z18" s="18"/>
    </row>
    <row r="19" spans="1:36" ht="15.75" x14ac:dyDescent="0.25">
      <c r="E19" s="224" t="str">
        <f>References!$F$2</f>
        <v>Name</v>
      </c>
      <c r="F19" s="225"/>
      <c r="G19" s="222" t="s">
        <v>13</v>
      </c>
      <c r="H19" s="223"/>
      <c r="R19" s="224" t="str">
        <f>References!$F$2</f>
        <v>Name</v>
      </c>
      <c r="S19" s="225"/>
      <c r="T19" s="222" t="s">
        <v>14</v>
      </c>
      <c r="U19" s="223"/>
      <c r="W19" s="126"/>
      <c r="X19" s="166"/>
      <c r="Y19" s="166"/>
      <c r="Z19" s="18"/>
      <c r="AE19" s="224" t="str">
        <f>References!$F$2</f>
        <v>Name</v>
      </c>
      <c r="AF19" s="225"/>
      <c r="AG19" s="222" t="s">
        <v>15</v>
      </c>
      <c r="AH19" s="223"/>
      <c r="AJ19" s="126"/>
    </row>
    <row r="20" spans="1:36" ht="15.75" x14ac:dyDescent="0.25">
      <c r="E20" s="212" t="str">
        <f>References!$F$3</f>
        <v>Class</v>
      </c>
      <c r="F20" s="213"/>
      <c r="G20" s="218" t="str">
        <f>References!$E$3</f>
        <v>Mercenary</v>
      </c>
      <c r="H20" s="219"/>
      <c r="R20" s="212" t="str">
        <f>References!$F$3</f>
        <v>Class</v>
      </c>
      <c r="S20" s="213"/>
      <c r="T20" s="218" t="str">
        <f>References!$E$4</f>
        <v>Warlord</v>
      </c>
      <c r="U20" s="219"/>
      <c r="W20" s="126"/>
      <c r="X20" s="166"/>
      <c r="Y20" s="166"/>
      <c r="Z20" s="18"/>
      <c r="AE20" s="212" t="str">
        <f>References!$F$3</f>
        <v>Class</v>
      </c>
      <c r="AF20" s="213"/>
      <c r="AG20" s="218" t="str">
        <f>References!$E$5</f>
        <v>Berserker</v>
      </c>
      <c r="AH20" s="219"/>
      <c r="AJ20" s="126"/>
    </row>
    <row r="21" spans="1:36" ht="15.75" x14ac:dyDescent="0.25">
      <c r="E21" s="212" t="str">
        <f>References!$F$4</f>
        <v>Type</v>
      </c>
      <c r="F21" s="213"/>
      <c r="G21" s="218" t="str">
        <f>References!$B$2</f>
        <v>Offensive</v>
      </c>
      <c r="H21" s="219"/>
      <c r="R21" s="212" t="str">
        <f>References!$F$4</f>
        <v>Type</v>
      </c>
      <c r="S21" s="213"/>
      <c r="T21" s="218" t="str">
        <f>References!$B$4</f>
        <v>Passive</v>
      </c>
      <c r="U21" s="219"/>
      <c r="W21" s="126"/>
      <c r="X21" s="166"/>
      <c r="Y21" s="166"/>
      <c r="Z21" s="18"/>
      <c r="AE21" s="212" t="str">
        <f>References!$F$4</f>
        <v>Type</v>
      </c>
      <c r="AF21" s="213"/>
      <c r="AG21" s="218" t="str">
        <f>References!$B$2</f>
        <v>Offensive</v>
      </c>
      <c r="AH21" s="219"/>
      <c r="AJ21" s="126"/>
    </row>
    <row r="22" spans="1:36" ht="15.75" x14ac:dyDescent="0.25">
      <c r="E22" s="212" t="str">
        <f>References!$F$5</f>
        <v>Nb. Targets</v>
      </c>
      <c r="F22" s="213"/>
      <c r="G22" s="218">
        <v>1</v>
      </c>
      <c r="H22" s="219"/>
      <c r="R22" s="212" t="str">
        <f>References!$F$5</f>
        <v>Nb. Targets</v>
      </c>
      <c r="S22" s="213"/>
      <c r="T22" s="229"/>
      <c r="U22" s="234"/>
      <c r="W22" s="126"/>
      <c r="X22" s="166"/>
      <c r="Y22" s="166"/>
      <c r="Z22" s="18"/>
      <c r="AE22" s="212" t="str">
        <f>References!$F$5</f>
        <v>Nb. Targets</v>
      </c>
      <c r="AF22" s="213"/>
      <c r="AG22" s="218">
        <v>1</v>
      </c>
      <c r="AH22" s="219"/>
      <c r="AJ22" s="126"/>
    </row>
    <row r="23" spans="1:36" ht="16.5" thickBot="1" x14ac:dyDescent="0.3">
      <c r="E23" s="214" t="str">
        <f>References!$F$6</f>
        <v>Energy cost</v>
      </c>
      <c r="F23" s="215"/>
      <c r="G23" s="216">
        <v>3</v>
      </c>
      <c r="H23" s="217"/>
      <c r="R23" s="214" t="str">
        <f>References!$F$6</f>
        <v>Energy cost</v>
      </c>
      <c r="S23" s="215"/>
      <c r="T23" s="232"/>
      <c r="U23" s="233"/>
      <c r="W23" s="126"/>
      <c r="X23" s="166"/>
      <c r="Y23" s="166"/>
      <c r="Z23" s="18"/>
      <c r="AE23" s="214" t="str">
        <f>References!$F$6</f>
        <v>Energy cost</v>
      </c>
      <c r="AF23" s="215"/>
      <c r="AG23" s="216">
        <v>3</v>
      </c>
      <c r="AH23" s="217"/>
      <c r="AJ23" s="126"/>
    </row>
    <row r="24" spans="1:36" ht="16.5" thickBot="1" x14ac:dyDescent="0.3">
      <c r="A24" s="13"/>
      <c r="B24" s="13"/>
      <c r="C24" s="13"/>
      <c r="D24" s="13"/>
      <c r="E24" s="154"/>
      <c r="F24" s="156"/>
      <c r="G24" s="156"/>
      <c r="H24" s="13"/>
      <c r="I24" s="13"/>
      <c r="J24" s="154"/>
      <c r="N24" s="13"/>
      <c r="O24" s="13"/>
      <c r="P24" s="13"/>
      <c r="Q24" s="13"/>
      <c r="R24" s="154"/>
      <c r="S24" s="156"/>
      <c r="T24" s="156"/>
      <c r="U24" s="13"/>
      <c r="V24" s="13"/>
      <c r="W24" s="154"/>
      <c r="X24" s="166"/>
      <c r="Y24" s="166"/>
      <c r="Z24" s="18"/>
      <c r="AA24" s="13"/>
      <c r="AB24" s="13"/>
      <c r="AC24" s="13"/>
      <c r="AD24" s="13"/>
      <c r="AE24" s="154"/>
      <c r="AF24" s="156"/>
      <c r="AG24" s="156"/>
      <c r="AH24" s="13"/>
      <c r="AI24" s="13"/>
      <c r="AJ24" s="154"/>
    </row>
    <row r="25" spans="1:36" ht="16.5" thickBot="1" x14ac:dyDescent="0.3">
      <c r="A25" s="133" t="str">
        <f>References!$G$2</f>
        <v>Type</v>
      </c>
      <c r="B25" s="135" t="str">
        <f>References!$G$3</f>
        <v>Stat</v>
      </c>
      <c r="C25" s="133" t="str">
        <f>References!$G$4</f>
        <v>Nb</v>
      </c>
      <c r="D25" s="131" t="str">
        <f>References!$G$5</f>
        <v>Turns</v>
      </c>
      <c r="E25" s="132" t="str">
        <f>References!$G$6</f>
        <v>%</v>
      </c>
      <c r="F25" s="146" t="str">
        <f>References!$G$7</f>
        <v>Nb</v>
      </c>
      <c r="G25" s="147" t="str">
        <f>References!$G$8</f>
        <v>Turns</v>
      </c>
      <c r="H25" s="133" t="str">
        <f>References!$G$9</f>
        <v>Nb</v>
      </c>
      <c r="I25" s="131" t="str">
        <f>References!$G$10</f>
        <v>Turns</v>
      </c>
      <c r="J25" s="132" t="str">
        <f>References!$G$11</f>
        <v>%</v>
      </c>
      <c r="K25" s="155"/>
      <c r="L25" s="155"/>
      <c r="N25" s="133" t="str">
        <f>References!$G$2</f>
        <v>Type</v>
      </c>
      <c r="O25" s="135" t="str">
        <f>References!$G$3</f>
        <v>Stat</v>
      </c>
      <c r="P25" s="133" t="str">
        <f>References!$G$4</f>
        <v>Nb</v>
      </c>
      <c r="Q25" s="131" t="str">
        <f>References!$G$5</f>
        <v>Turns</v>
      </c>
      <c r="R25" s="132" t="str">
        <f>References!$G$6</f>
        <v>%</v>
      </c>
      <c r="S25" s="146" t="str">
        <f>References!$G$7</f>
        <v>Nb</v>
      </c>
      <c r="T25" s="147" t="str">
        <f>References!$G$8</f>
        <v>Turns</v>
      </c>
      <c r="U25" s="133" t="str">
        <f>References!$G$9</f>
        <v>Nb</v>
      </c>
      <c r="V25" s="131" t="str">
        <f>References!$G$10</f>
        <v>Turns</v>
      </c>
      <c r="W25" s="132" t="str">
        <f>References!$G$11</f>
        <v>%</v>
      </c>
      <c r="X25" s="155"/>
      <c r="Y25" s="155"/>
      <c r="Z25" s="18"/>
      <c r="AA25" s="133" t="str">
        <f>References!$G$2</f>
        <v>Type</v>
      </c>
      <c r="AB25" s="135" t="str">
        <f>References!$G$3</f>
        <v>Stat</v>
      </c>
      <c r="AC25" s="133" t="str">
        <f>References!$G$4</f>
        <v>Nb</v>
      </c>
      <c r="AD25" s="131" t="str">
        <f>References!$G$5</f>
        <v>Turns</v>
      </c>
      <c r="AE25" s="132" t="str">
        <f>References!$G$6</f>
        <v>%</v>
      </c>
      <c r="AF25" s="146" t="str">
        <f>References!$G$7</f>
        <v>Nb</v>
      </c>
      <c r="AG25" s="147" t="str">
        <f>References!$G$8</f>
        <v>Turns</v>
      </c>
      <c r="AH25" s="133" t="str">
        <f>References!$G$9</f>
        <v>Nb</v>
      </c>
      <c r="AI25" s="131" t="str">
        <f>References!$G$10</f>
        <v>Turns</v>
      </c>
      <c r="AJ25" s="132" t="str">
        <f>References!$G$11</f>
        <v>%</v>
      </c>
    </row>
    <row r="26" spans="1:36" ht="15.75" thickBot="1" x14ac:dyDescent="0.3">
      <c r="A26" s="137"/>
      <c r="B26" s="138"/>
      <c r="C26" s="240" t="str">
        <f>References!$H$2</f>
        <v>High initiative</v>
      </c>
      <c r="D26" s="241"/>
      <c r="E26" s="242"/>
      <c r="F26" s="243" t="str">
        <f>References!$H$3</f>
        <v>Standard</v>
      </c>
      <c r="G26" s="244"/>
      <c r="H26" s="245" t="str">
        <f>References!$H$4</f>
        <v>Low initiative</v>
      </c>
      <c r="I26" s="246"/>
      <c r="J26" s="247"/>
      <c r="K26" s="160"/>
      <c r="L26" s="160"/>
      <c r="N26" s="134"/>
      <c r="O26" s="136"/>
      <c r="P26" s="248" t="str">
        <f>References!$H$2</f>
        <v>High initiative</v>
      </c>
      <c r="Q26" s="249"/>
      <c r="R26" s="250"/>
      <c r="S26" s="251" t="str">
        <f>References!$H$3</f>
        <v>Standard</v>
      </c>
      <c r="T26" s="252"/>
      <c r="U26" s="253" t="str">
        <f>References!$H$4</f>
        <v>Low initiative</v>
      </c>
      <c r="V26" s="254"/>
      <c r="W26" s="255"/>
      <c r="X26" s="158"/>
      <c r="Y26" s="158"/>
      <c r="Z26" s="18"/>
      <c r="AA26" s="137"/>
      <c r="AB26" s="138"/>
      <c r="AC26" s="240" t="str">
        <f>References!$H$2</f>
        <v>High initiative</v>
      </c>
      <c r="AD26" s="241"/>
      <c r="AE26" s="242"/>
      <c r="AF26" s="243" t="str">
        <f>References!$H$3</f>
        <v>Standard</v>
      </c>
      <c r="AG26" s="244"/>
      <c r="AH26" s="245" t="str">
        <f>References!$H$4</f>
        <v>Low initiative</v>
      </c>
      <c r="AI26" s="246"/>
      <c r="AJ26" s="247"/>
    </row>
    <row r="27" spans="1:36" ht="16.5" thickBot="1" x14ac:dyDescent="0.3">
      <c r="A27" s="127" t="str">
        <f>References!$C$2</f>
        <v>Direct</v>
      </c>
      <c r="B27" s="143" t="str">
        <f>References!$A$2</f>
        <v>dmg</v>
      </c>
      <c r="C27" s="127">
        <v>3</v>
      </c>
      <c r="D27" s="145"/>
      <c r="E27" s="128">
        <v>100</v>
      </c>
      <c r="F27" s="144">
        <v>4</v>
      </c>
      <c r="G27" s="145"/>
      <c r="H27" s="127">
        <v>5</v>
      </c>
      <c r="I27" s="145"/>
      <c r="J27" s="128">
        <v>100</v>
      </c>
      <c r="K27" s="148"/>
      <c r="L27" s="148"/>
      <c r="N27" s="129" t="str">
        <f>References!$B$4</f>
        <v>Passive</v>
      </c>
      <c r="O27" s="139" t="str">
        <f>References!$A$5</f>
        <v>def</v>
      </c>
      <c r="P27" s="179"/>
      <c r="Q27" s="175"/>
      <c r="R27" s="180"/>
      <c r="S27" s="181">
        <v>1</v>
      </c>
      <c r="T27" s="175"/>
      <c r="U27" s="179"/>
      <c r="V27" s="175"/>
      <c r="W27" s="180"/>
      <c r="X27" s="154"/>
      <c r="Y27" s="154"/>
      <c r="Z27" s="18"/>
      <c r="AA27" s="127" t="str">
        <f>References!$C$2</f>
        <v>Direct</v>
      </c>
      <c r="AB27" s="143" t="str">
        <f>References!$A$2</f>
        <v>dmg</v>
      </c>
      <c r="AC27" s="127">
        <v>3</v>
      </c>
      <c r="AD27" s="145"/>
      <c r="AE27" s="128">
        <v>100</v>
      </c>
      <c r="AF27" s="144">
        <v>3</v>
      </c>
      <c r="AG27" s="145"/>
      <c r="AH27" s="127">
        <v>4</v>
      </c>
      <c r="AI27" s="145"/>
      <c r="AJ27" s="128">
        <v>100</v>
      </c>
    </row>
    <row r="28" spans="1:36" ht="16.5" thickBot="1" x14ac:dyDescent="0.3">
      <c r="A28" s="129" t="str">
        <f>References!$C$4</f>
        <v>SelfDirect</v>
      </c>
      <c r="B28" s="139" t="str">
        <f>References!$A$5</f>
        <v>def</v>
      </c>
      <c r="C28" s="129">
        <v>1</v>
      </c>
      <c r="D28" s="145"/>
      <c r="E28" s="128">
        <v>100</v>
      </c>
      <c r="F28" s="141">
        <v>1</v>
      </c>
      <c r="G28" s="145"/>
      <c r="H28" s="129">
        <v>1</v>
      </c>
      <c r="I28" s="145"/>
      <c r="J28" s="128">
        <v>100</v>
      </c>
      <c r="K28" s="148"/>
      <c r="L28" s="148"/>
      <c r="N28" s="13"/>
      <c r="O28" s="13"/>
      <c r="P28" s="13"/>
      <c r="Q28" s="13"/>
      <c r="R28" s="154"/>
      <c r="S28" s="156"/>
      <c r="T28" s="156"/>
      <c r="U28" s="13"/>
      <c r="V28" s="13"/>
      <c r="W28" s="154"/>
      <c r="X28" s="154"/>
      <c r="Y28" s="154"/>
      <c r="Z28" s="18"/>
      <c r="AA28" s="127" t="str">
        <f>References!$C$2</f>
        <v>Direct</v>
      </c>
      <c r="AB28" s="143" t="str">
        <f>References!$A$2</f>
        <v>dmg</v>
      </c>
      <c r="AC28" s="129">
        <v>2</v>
      </c>
      <c r="AD28" s="145"/>
      <c r="AE28" s="128">
        <v>100</v>
      </c>
      <c r="AF28" s="141">
        <v>3</v>
      </c>
      <c r="AG28" s="145"/>
      <c r="AH28" s="129">
        <v>3</v>
      </c>
      <c r="AI28" s="145"/>
      <c r="AJ28" s="128">
        <v>100</v>
      </c>
    </row>
    <row r="29" spans="1:36" ht="16.5" thickBot="1" x14ac:dyDescent="0.3">
      <c r="A29" s="127" t="str">
        <f>References!$C$5</f>
        <v>SelfTemp</v>
      </c>
      <c r="B29" s="139" t="str">
        <f>References!$A$5</f>
        <v>def</v>
      </c>
      <c r="C29" s="129">
        <v>1</v>
      </c>
      <c r="D29" s="130">
        <v>1</v>
      </c>
      <c r="E29" s="128">
        <v>100</v>
      </c>
      <c r="F29" s="141">
        <v>1</v>
      </c>
      <c r="G29" s="142">
        <v>1</v>
      </c>
      <c r="H29" s="129">
        <v>1</v>
      </c>
      <c r="I29" s="130">
        <v>2</v>
      </c>
      <c r="J29" s="128">
        <v>100</v>
      </c>
      <c r="K29" s="148"/>
      <c r="L29" s="148"/>
      <c r="N29" s="10"/>
      <c r="O29" s="10"/>
      <c r="P29" s="10"/>
      <c r="Q29" s="10"/>
      <c r="R29" s="148"/>
      <c r="S29" s="151"/>
      <c r="T29" s="151"/>
      <c r="U29" s="10"/>
      <c r="V29" s="10"/>
      <c r="W29" s="148"/>
      <c r="X29" s="154"/>
      <c r="Y29" s="154"/>
      <c r="Z29" s="18"/>
      <c r="AA29" s="10"/>
      <c r="AB29" s="10"/>
      <c r="AC29" s="10"/>
      <c r="AD29" s="10"/>
      <c r="AE29" s="148"/>
      <c r="AF29" s="151"/>
      <c r="AG29" s="151"/>
      <c r="AH29" s="10"/>
      <c r="AI29" s="10"/>
      <c r="AJ29" s="148"/>
    </row>
    <row r="30" spans="1:36" ht="15.75" x14ac:dyDescent="0.25">
      <c r="A30" s="10"/>
      <c r="B30" s="10"/>
      <c r="C30" s="10"/>
      <c r="D30" s="10"/>
      <c r="E30" s="148"/>
      <c r="F30" s="151"/>
      <c r="G30" s="151"/>
      <c r="H30" s="10"/>
      <c r="I30" s="10"/>
      <c r="J30" s="148"/>
      <c r="K30" s="148"/>
      <c r="L30" s="148"/>
      <c r="N30" s="10"/>
      <c r="O30" s="10"/>
      <c r="P30" s="10"/>
      <c r="Q30" s="10"/>
      <c r="R30" s="148"/>
      <c r="S30" s="151"/>
      <c r="T30" s="151"/>
      <c r="U30" s="10"/>
      <c r="V30" s="10"/>
      <c r="W30" s="148"/>
      <c r="X30" s="154"/>
      <c r="Y30" s="154"/>
      <c r="Z30" s="18"/>
      <c r="AA30" s="10"/>
      <c r="AB30" s="10"/>
      <c r="AC30" s="10"/>
      <c r="AD30" s="10"/>
      <c r="AE30" s="148"/>
      <c r="AF30" s="151"/>
      <c r="AG30" s="151"/>
      <c r="AH30" s="10"/>
      <c r="AI30" s="10"/>
      <c r="AJ30" s="148"/>
    </row>
    <row r="31" spans="1:36" ht="15.75" x14ac:dyDescent="0.25">
      <c r="A31" s="10"/>
      <c r="B31" s="10"/>
      <c r="C31" s="10"/>
      <c r="D31" s="10"/>
      <c r="E31" s="148"/>
      <c r="F31" s="151"/>
      <c r="G31" s="151"/>
      <c r="H31" s="10"/>
      <c r="I31" s="10"/>
      <c r="J31" s="148"/>
      <c r="K31" s="148"/>
      <c r="L31" s="148"/>
      <c r="N31" s="10"/>
      <c r="O31" s="10"/>
      <c r="P31" s="10"/>
      <c r="Q31" s="10"/>
      <c r="R31" s="148"/>
      <c r="S31" s="151"/>
      <c r="T31" s="151"/>
      <c r="U31" s="10"/>
      <c r="V31" s="10"/>
      <c r="W31" s="148"/>
      <c r="X31" s="154"/>
      <c r="Y31" s="154"/>
      <c r="Z31" s="18"/>
      <c r="AA31" s="10"/>
      <c r="AB31" s="10"/>
      <c r="AC31" s="10"/>
      <c r="AD31" s="10"/>
      <c r="AE31" s="148"/>
      <c r="AF31" s="151"/>
      <c r="AG31" s="151"/>
      <c r="AH31" s="10"/>
      <c r="AI31" s="10"/>
      <c r="AJ31" s="148"/>
    </row>
    <row r="32" spans="1:36" ht="15.75" x14ac:dyDescent="0.25">
      <c r="A32" s="10"/>
      <c r="B32" s="10"/>
      <c r="C32" s="10"/>
      <c r="D32" s="10"/>
      <c r="E32" s="148"/>
      <c r="F32" s="151"/>
      <c r="G32" s="151"/>
      <c r="H32" s="10"/>
      <c r="I32" s="10"/>
      <c r="J32" s="148"/>
      <c r="K32" s="148"/>
      <c r="L32" s="148"/>
      <c r="N32" s="10"/>
      <c r="O32" s="10"/>
      <c r="P32" s="10"/>
      <c r="Q32" s="10"/>
      <c r="R32" s="148"/>
      <c r="S32" s="151"/>
      <c r="T32" s="151"/>
      <c r="U32" s="10"/>
      <c r="V32" s="10"/>
      <c r="W32" s="148"/>
      <c r="X32" s="154"/>
      <c r="Y32" s="154"/>
      <c r="Z32" s="18"/>
      <c r="AA32" s="10"/>
      <c r="AB32" s="10"/>
      <c r="AC32" s="10"/>
      <c r="AD32" s="10"/>
      <c r="AE32" s="148"/>
      <c r="AF32" s="151"/>
      <c r="AG32" s="151"/>
      <c r="AH32" s="10"/>
      <c r="AI32" s="10"/>
      <c r="AJ32" s="148"/>
    </row>
    <row r="33" spans="1:36" ht="6" customHeight="1" x14ac:dyDescent="0.25">
      <c r="A33" s="161"/>
      <c r="B33" s="161"/>
      <c r="C33" s="161"/>
      <c r="D33" s="161"/>
      <c r="E33" s="162"/>
      <c r="F33" s="150"/>
      <c r="G33" s="150"/>
      <c r="H33" s="161"/>
      <c r="I33" s="161"/>
      <c r="J33" s="162"/>
      <c r="K33" s="162"/>
      <c r="L33" s="162"/>
      <c r="M33" s="163"/>
      <c r="N33" s="161"/>
      <c r="O33" s="161"/>
      <c r="P33" s="161"/>
      <c r="Q33" s="161"/>
      <c r="R33" s="162"/>
      <c r="S33" s="150"/>
      <c r="T33" s="150"/>
      <c r="U33" s="161"/>
      <c r="V33" s="161"/>
      <c r="W33" s="162"/>
      <c r="X33" s="162"/>
      <c r="Y33" s="162"/>
      <c r="Z33" s="163"/>
      <c r="AA33" s="161"/>
      <c r="AB33" s="161"/>
      <c r="AC33" s="161"/>
      <c r="AD33" s="161"/>
      <c r="AE33" s="162"/>
      <c r="AF33" s="150"/>
      <c r="AG33" s="150"/>
      <c r="AH33" s="161"/>
      <c r="AI33" s="161"/>
      <c r="AJ33" s="162"/>
    </row>
    <row r="34" spans="1:36" ht="15.75" thickBot="1" x14ac:dyDescent="0.3">
      <c r="L34" s="167"/>
      <c r="X34" s="18"/>
      <c r="Y34" s="163"/>
      <c r="Z34" s="18"/>
    </row>
    <row r="35" spans="1:36" ht="15.75" x14ac:dyDescent="0.25">
      <c r="E35" s="224" t="str">
        <f>References!$F$2</f>
        <v>Name</v>
      </c>
      <c r="F35" s="225"/>
      <c r="G35" s="222" t="s">
        <v>31</v>
      </c>
      <c r="H35" s="223"/>
      <c r="L35" s="167"/>
      <c r="R35" s="224" t="str">
        <f>References!$F$2</f>
        <v>Name</v>
      </c>
      <c r="S35" s="225"/>
      <c r="T35" s="222" t="s">
        <v>103</v>
      </c>
      <c r="U35" s="223"/>
      <c r="W35" s="126"/>
      <c r="X35" s="166"/>
      <c r="Y35" s="167"/>
      <c r="Z35" s="18"/>
      <c r="AE35" s="224" t="str">
        <f>References!$F$2</f>
        <v>Name</v>
      </c>
      <c r="AF35" s="225"/>
      <c r="AG35" s="222" t="s">
        <v>32</v>
      </c>
      <c r="AH35" s="223"/>
      <c r="AJ35" s="126"/>
    </row>
    <row r="36" spans="1:36" ht="15.75" x14ac:dyDescent="0.25">
      <c r="E36" s="212" t="str">
        <f>References!$F$3</f>
        <v>Class</v>
      </c>
      <c r="F36" s="213"/>
      <c r="G36" s="218" t="str">
        <f>References!$E$3</f>
        <v>Mercenary</v>
      </c>
      <c r="H36" s="219"/>
      <c r="L36" s="167"/>
      <c r="R36" s="212" t="str">
        <f>References!$F$3</f>
        <v>Class</v>
      </c>
      <c r="S36" s="213"/>
      <c r="T36" s="218" t="str">
        <f>References!$E$4</f>
        <v>Warlord</v>
      </c>
      <c r="U36" s="219"/>
      <c r="W36" s="126"/>
      <c r="X36" s="166"/>
      <c r="Y36" s="167"/>
      <c r="Z36" s="18"/>
      <c r="AE36" s="212" t="str">
        <f>References!$F$3</f>
        <v>Class</v>
      </c>
      <c r="AF36" s="213"/>
      <c r="AG36" s="218" t="str">
        <f>References!$E$5</f>
        <v>Berserker</v>
      </c>
      <c r="AH36" s="219"/>
      <c r="AJ36" s="126"/>
    </row>
    <row r="37" spans="1:36" ht="15.75" x14ac:dyDescent="0.25">
      <c r="E37" s="212" t="str">
        <f>References!$F$4</f>
        <v>Type</v>
      </c>
      <c r="F37" s="213"/>
      <c r="G37" s="218" t="str">
        <f>References!$B$2</f>
        <v>Offensive</v>
      </c>
      <c r="H37" s="219"/>
      <c r="L37" s="167"/>
      <c r="R37" s="212" t="str">
        <f>References!$F$4</f>
        <v>Type</v>
      </c>
      <c r="S37" s="213"/>
      <c r="T37" s="218" t="str">
        <f>References!$B$2</f>
        <v>Offensive</v>
      </c>
      <c r="U37" s="219"/>
      <c r="W37" s="126"/>
      <c r="X37" s="166"/>
      <c r="Y37" s="167"/>
      <c r="Z37" s="18"/>
      <c r="AE37" s="212" t="str">
        <f>References!$F$4</f>
        <v>Type</v>
      </c>
      <c r="AF37" s="213"/>
      <c r="AG37" s="220" t="str">
        <f>References!$B$3</f>
        <v>Defensive</v>
      </c>
      <c r="AH37" s="221"/>
      <c r="AJ37" s="126"/>
    </row>
    <row r="38" spans="1:36" ht="15.75" x14ac:dyDescent="0.25">
      <c r="E38" s="212" t="str">
        <f>References!$F$5</f>
        <v>Nb. Targets</v>
      </c>
      <c r="F38" s="213"/>
      <c r="G38" s="218">
        <v>2</v>
      </c>
      <c r="H38" s="219"/>
      <c r="L38" s="167"/>
      <c r="R38" s="212" t="str">
        <f>References!$F$5</f>
        <v>Nb. Targets</v>
      </c>
      <c r="S38" s="213"/>
      <c r="T38" s="218">
        <v>1</v>
      </c>
      <c r="U38" s="219"/>
      <c r="W38" s="126"/>
      <c r="X38" s="166"/>
      <c r="Y38" s="167"/>
      <c r="Z38" s="18"/>
      <c r="AE38" s="212" t="str">
        <f>References!$F$5</f>
        <v>Nb. Targets</v>
      </c>
      <c r="AF38" s="213"/>
      <c r="AG38" s="218">
        <v>3</v>
      </c>
      <c r="AH38" s="219"/>
      <c r="AJ38" s="126"/>
    </row>
    <row r="39" spans="1:36" ht="16.5" thickBot="1" x14ac:dyDescent="0.3">
      <c r="E39" s="214" t="str">
        <f>References!$F$6</f>
        <v>Energy cost</v>
      </c>
      <c r="F39" s="215"/>
      <c r="G39" s="216">
        <v>4</v>
      </c>
      <c r="H39" s="217"/>
      <c r="L39" s="167"/>
      <c r="R39" s="214" t="str">
        <f>References!$F$6</f>
        <v>Energy cost</v>
      </c>
      <c r="S39" s="215"/>
      <c r="T39" s="216">
        <v>3</v>
      </c>
      <c r="U39" s="217"/>
      <c r="W39" s="126"/>
      <c r="X39" s="166"/>
      <c r="Y39" s="167"/>
      <c r="Z39" s="18"/>
      <c r="AE39" s="214" t="str">
        <f>References!$F$6</f>
        <v>Energy cost</v>
      </c>
      <c r="AF39" s="215"/>
      <c r="AG39" s="216">
        <v>2</v>
      </c>
      <c r="AH39" s="217"/>
      <c r="AJ39" s="126"/>
    </row>
    <row r="40" spans="1:36" ht="16.5" thickBot="1" x14ac:dyDescent="0.3">
      <c r="A40" s="13"/>
      <c r="B40" s="13"/>
      <c r="C40" s="13"/>
      <c r="D40" s="13"/>
      <c r="E40" s="154"/>
      <c r="F40" s="156"/>
      <c r="G40" s="156"/>
      <c r="H40" s="13"/>
      <c r="I40" s="13"/>
      <c r="J40" s="154"/>
      <c r="L40" s="167"/>
      <c r="N40" s="13"/>
      <c r="O40" s="13"/>
      <c r="P40" s="13"/>
      <c r="Q40" s="13"/>
      <c r="R40" s="154"/>
      <c r="S40" s="156"/>
      <c r="T40" s="156"/>
      <c r="U40" s="13"/>
      <c r="V40" s="13"/>
      <c r="W40" s="154"/>
      <c r="X40" s="166"/>
      <c r="Y40" s="167"/>
      <c r="Z40" s="18"/>
      <c r="AA40" s="13"/>
      <c r="AB40" s="13"/>
      <c r="AC40" s="13"/>
      <c r="AD40" s="13"/>
      <c r="AE40" s="154"/>
      <c r="AF40" s="156"/>
      <c r="AG40" s="156"/>
      <c r="AH40" s="13"/>
      <c r="AI40" s="13"/>
      <c r="AJ40" s="154"/>
    </row>
    <row r="41" spans="1:36" ht="16.5" thickBot="1" x14ac:dyDescent="0.3">
      <c r="A41" s="133" t="str">
        <f>References!$G$2</f>
        <v>Type</v>
      </c>
      <c r="B41" s="135" t="str">
        <f>References!$G$3</f>
        <v>Stat</v>
      </c>
      <c r="C41" s="133" t="str">
        <f>References!$G$4</f>
        <v>Nb</v>
      </c>
      <c r="D41" s="131" t="str">
        <f>References!$G$5</f>
        <v>Turns</v>
      </c>
      <c r="E41" s="132" t="str">
        <f>References!$G$6</f>
        <v>%</v>
      </c>
      <c r="F41" s="146" t="str">
        <f>References!$G$7</f>
        <v>Nb</v>
      </c>
      <c r="G41" s="147" t="str">
        <f>References!$G$8</f>
        <v>Turns</v>
      </c>
      <c r="H41" s="133" t="str">
        <f>References!$G$9</f>
        <v>Nb</v>
      </c>
      <c r="I41" s="131" t="str">
        <f>References!$G$10</f>
        <v>Turns</v>
      </c>
      <c r="J41" s="132" t="str">
        <f>References!$G$11</f>
        <v>%</v>
      </c>
      <c r="K41" s="155"/>
      <c r="L41" s="149"/>
      <c r="N41" s="133" t="str">
        <f>References!$G$2</f>
        <v>Type</v>
      </c>
      <c r="O41" s="135" t="str">
        <f>References!$G$3</f>
        <v>Stat</v>
      </c>
      <c r="P41" s="133" t="str">
        <f>References!$G$4</f>
        <v>Nb</v>
      </c>
      <c r="Q41" s="131" t="str">
        <f>References!$G$5</f>
        <v>Turns</v>
      </c>
      <c r="R41" s="132" t="str">
        <f>References!$G$6</f>
        <v>%</v>
      </c>
      <c r="S41" s="146" t="str">
        <f>References!$G$7</f>
        <v>Nb</v>
      </c>
      <c r="T41" s="147" t="str">
        <f>References!$G$8</f>
        <v>Turns</v>
      </c>
      <c r="U41" s="133" t="str">
        <f>References!$G$9</f>
        <v>Nb</v>
      </c>
      <c r="V41" s="131" t="str">
        <f>References!$G$10</f>
        <v>Turns</v>
      </c>
      <c r="W41" s="132" t="str">
        <f>References!$G$11</f>
        <v>%</v>
      </c>
      <c r="X41" s="155"/>
      <c r="Y41" s="149"/>
      <c r="Z41" s="18"/>
      <c r="AA41" s="133" t="str">
        <f>References!$G$2</f>
        <v>Type</v>
      </c>
      <c r="AB41" s="135" t="str">
        <f>References!$G$3</f>
        <v>Stat</v>
      </c>
      <c r="AC41" s="133" t="str">
        <f>References!$G$4</f>
        <v>Nb</v>
      </c>
      <c r="AD41" s="131" t="str">
        <f>References!$G$5</f>
        <v>Turns</v>
      </c>
      <c r="AE41" s="132" t="str">
        <f>References!$G$6</f>
        <v>%</v>
      </c>
      <c r="AF41" s="146" t="str">
        <f>References!$G$7</f>
        <v>Nb</v>
      </c>
      <c r="AG41" s="147" t="str">
        <f>References!$G$8</f>
        <v>Turns</v>
      </c>
      <c r="AH41" s="133" t="str">
        <f>References!$G$9</f>
        <v>Nb</v>
      </c>
      <c r="AI41" s="131" t="str">
        <f>References!$G$10</f>
        <v>Turns</v>
      </c>
      <c r="AJ41" s="132" t="str">
        <f>References!$G$11</f>
        <v>%</v>
      </c>
    </row>
    <row r="42" spans="1:36" ht="15.75" thickBot="1" x14ac:dyDescent="0.3">
      <c r="A42" s="137"/>
      <c r="B42" s="138"/>
      <c r="C42" s="240" t="str">
        <f>References!$H$2</f>
        <v>High initiative</v>
      </c>
      <c r="D42" s="241"/>
      <c r="E42" s="242"/>
      <c r="F42" s="243" t="str">
        <f>References!$H$3</f>
        <v>Standard</v>
      </c>
      <c r="G42" s="244"/>
      <c r="H42" s="245" t="str">
        <f>References!$H$4</f>
        <v>Low initiative</v>
      </c>
      <c r="I42" s="246"/>
      <c r="J42" s="247"/>
      <c r="K42" s="160"/>
      <c r="L42" s="168"/>
      <c r="N42" s="137"/>
      <c r="O42" s="138"/>
      <c r="P42" s="240" t="str">
        <f>References!$H$2</f>
        <v>High initiative</v>
      </c>
      <c r="Q42" s="241"/>
      <c r="R42" s="242"/>
      <c r="S42" s="243" t="str">
        <f>References!$H$3</f>
        <v>Standard</v>
      </c>
      <c r="T42" s="244"/>
      <c r="U42" s="245" t="str">
        <f>References!$H$4</f>
        <v>Low initiative</v>
      </c>
      <c r="V42" s="246"/>
      <c r="W42" s="247"/>
      <c r="X42" s="158"/>
      <c r="Y42" s="168"/>
      <c r="Z42" s="18"/>
      <c r="AA42" s="134"/>
      <c r="AB42" s="136"/>
      <c r="AC42" s="248" t="str">
        <f>References!$H$2</f>
        <v>High initiative</v>
      </c>
      <c r="AD42" s="249"/>
      <c r="AE42" s="250"/>
      <c r="AF42" s="251" t="str">
        <f>References!$H$3</f>
        <v>Standard</v>
      </c>
      <c r="AG42" s="252"/>
      <c r="AH42" s="253" t="str">
        <f>References!$H$4</f>
        <v>Low initiative</v>
      </c>
      <c r="AI42" s="254"/>
      <c r="AJ42" s="255"/>
    </row>
    <row r="43" spans="1:36" ht="16.5" thickBot="1" x14ac:dyDescent="0.3">
      <c r="A43" s="127" t="str">
        <f>References!$C$2</f>
        <v>Direct</v>
      </c>
      <c r="B43" s="143" t="str">
        <f>References!$A$2</f>
        <v>dmg</v>
      </c>
      <c r="C43" s="127">
        <v>7</v>
      </c>
      <c r="D43" s="145"/>
      <c r="E43" s="128">
        <v>100</v>
      </c>
      <c r="F43" s="144">
        <v>8</v>
      </c>
      <c r="G43" s="145"/>
      <c r="H43" s="127">
        <v>9</v>
      </c>
      <c r="I43" s="145"/>
      <c r="J43" s="128">
        <v>100</v>
      </c>
      <c r="K43" s="148"/>
      <c r="L43" s="162"/>
      <c r="N43" s="127" t="str">
        <f>References!$C$2</f>
        <v>Direct</v>
      </c>
      <c r="O43" s="143" t="str">
        <f>References!$A$2</f>
        <v>dmg</v>
      </c>
      <c r="P43" s="127">
        <v>5</v>
      </c>
      <c r="Q43" s="145"/>
      <c r="R43" s="128">
        <v>100</v>
      </c>
      <c r="S43" s="144">
        <v>6</v>
      </c>
      <c r="T43" s="145"/>
      <c r="U43" s="127">
        <v>7</v>
      </c>
      <c r="V43" s="145"/>
      <c r="W43" s="128">
        <f>(2/3)*100</f>
        <v>66.666666666666657</v>
      </c>
      <c r="X43" s="154"/>
      <c r="Y43" s="162"/>
      <c r="Z43" s="18"/>
      <c r="AA43" s="129" t="str">
        <f>References!$C$2</f>
        <v>Direct</v>
      </c>
      <c r="AB43" s="139" t="str">
        <f>References!$A$2</f>
        <v>dmg</v>
      </c>
      <c r="AC43" s="129">
        <v>1</v>
      </c>
      <c r="AD43" s="175"/>
      <c r="AE43" s="140">
        <v>100</v>
      </c>
      <c r="AF43" s="141">
        <v>2</v>
      </c>
      <c r="AG43" s="175"/>
      <c r="AH43" s="129">
        <v>3</v>
      </c>
      <c r="AI43" s="175"/>
      <c r="AJ43" s="140">
        <f>(1/3)*100</f>
        <v>33.333333333333329</v>
      </c>
    </row>
    <row r="44" spans="1:36" ht="16.5" thickBot="1" x14ac:dyDescent="0.3">
      <c r="K44" s="148"/>
      <c r="L44" s="162"/>
      <c r="N44" s="127" t="str">
        <f>References!$C$2</f>
        <v>Direct</v>
      </c>
      <c r="O44" s="143" t="str">
        <f>References!$A$8</f>
        <v>stun</v>
      </c>
      <c r="P44" s="129">
        <v>1</v>
      </c>
      <c r="Q44" s="145"/>
      <c r="R44" s="128">
        <v>100</v>
      </c>
      <c r="S44" s="141">
        <v>1</v>
      </c>
      <c r="T44" s="145"/>
      <c r="U44" s="129">
        <v>1</v>
      </c>
      <c r="V44" s="145"/>
      <c r="W44" s="128">
        <v>50</v>
      </c>
      <c r="X44" s="154"/>
      <c r="Y44" s="162"/>
      <c r="Z44" s="18"/>
    </row>
    <row r="45" spans="1:36" x14ac:dyDescent="0.25">
      <c r="K45" s="166"/>
      <c r="L45" s="167"/>
      <c r="M45" s="18"/>
      <c r="X45" s="18"/>
      <c r="Y45" s="163"/>
      <c r="Z45" s="18"/>
    </row>
    <row r="46" spans="1:36" x14ac:dyDescent="0.25">
      <c r="K46" s="166"/>
      <c r="L46" s="167"/>
      <c r="M46" s="18"/>
      <c r="X46" s="18"/>
      <c r="Y46" s="163"/>
      <c r="Z46" s="18"/>
    </row>
    <row r="47" spans="1:36" x14ac:dyDescent="0.25">
      <c r="K47" s="166"/>
      <c r="L47" s="167"/>
      <c r="M47" s="18"/>
      <c r="X47" s="18"/>
      <c r="Y47" s="163"/>
      <c r="Z47" s="18"/>
    </row>
    <row r="48" spans="1:36" ht="15.75" thickBot="1" x14ac:dyDescent="0.3">
      <c r="K48" s="166"/>
      <c r="L48" s="167"/>
      <c r="M48" s="18"/>
      <c r="X48" s="18"/>
      <c r="Y48" s="163"/>
      <c r="Z48" s="18"/>
    </row>
    <row r="49" spans="1:36" ht="15.75" x14ac:dyDescent="0.25">
      <c r="E49" s="224" t="str">
        <f>References!$F$2</f>
        <v>Name</v>
      </c>
      <c r="F49" s="225"/>
      <c r="G49" s="222" t="s">
        <v>102</v>
      </c>
      <c r="H49" s="223"/>
      <c r="K49" s="166"/>
      <c r="L49" s="167"/>
      <c r="M49" s="18"/>
      <c r="R49" s="224" t="str">
        <f>References!$F$2</f>
        <v>Name</v>
      </c>
      <c r="S49" s="225"/>
      <c r="T49" s="222" t="s">
        <v>30</v>
      </c>
      <c r="U49" s="223"/>
      <c r="W49" s="126"/>
      <c r="X49" s="166"/>
      <c r="Y49" s="167"/>
      <c r="Z49" s="18"/>
      <c r="AE49" s="224" t="str">
        <f>References!$F$2</f>
        <v>Name</v>
      </c>
      <c r="AF49" s="225"/>
      <c r="AG49" s="222" t="s">
        <v>104</v>
      </c>
      <c r="AH49" s="223"/>
      <c r="AJ49" s="126"/>
    </row>
    <row r="50" spans="1:36" ht="15.75" x14ac:dyDescent="0.25">
      <c r="E50" s="212" t="str">
        <f>References!$F$3</f>
        <v>Class</v>
      </c>
      <c r="F50" s="213"/>
      <c r="G50" s="218" t="str">
        <f>References!$E$3</f>
        <v>Mercenary</v>
      </c>
      <c r="H50" s="219"/>
      <c r="K50" s="166"/>
      <c r="L50" s="167"/>
      <c r="M50" s="18"/>
      <c r="R50" s="212" t="str">
        <f>References!$F$3</f>
        <v>Class</v>
      </c>
      <c r="S50" s="213"/>
      <c r="T50" s="218" t="str">
        <f>References!$E$4</f>
        <v>Warlord</v>
      </c>
      <c r="U50" s="219"/>
      <c r="W50" s="126"/>
      <c r="X50" s="166"/>
      <c r="Y50" s="167"/>
      <c r="Z50" s="18"/>
      <c r="AE50" s="212" t="str">
        <f>References!$F$3</f>
        <v>Class</v>
      </c>
      <c r="AF50" s="213"/>
      <c r="AG50" s="218" t="str">
        <f>References!$E$5</f>
        <v>Berserker</v>
      </c>
      <c r="AH50" s="219"/>
      <c r="AJ50" s="126"/>
    </row>
    <row r="51" spans="1:36" ht="15.75" x14ac:dyDescent="0.25">
      <c r="E51" s="212" t="str">
        <f>References!$F$4</f>
        <v>Type</v>
      </c>
      <c r="F51" s="213"/>
      <c r="G51" s="218" t="str">
        <f>References!$B$3</f>
        <v>Defensive</v>
      </c>
      <c r="H51" s="219"/>
      <c r="K51" s="166"/>
      <c r="L51" s="167"/>
      <c r="M51" s="18"/>
      <c r="R51" s="212" t="str">
        <f>References!$F$4</f>
        <v>Type</v>
      </c>
      <c r="S51" s="213"/>
      <c r="T51" s="218" t="str">
        <f>References!$B$3</f>
        <v>Defensive</v>
      </c>
      <c r="U51" s="219"/>
      <c r="W51" s="126"/>
      <c r="X51" s="126"/>
      <c r="Y51" s="167"/>
      <c r="AE51" s="212" t="str">
        <f>References!$F$4</f>
        <v>Type</v>
      </c>
      <c r="AF51" s="213"/>
      <c r="AG51" s="218" t="str">
        <f>References!$B$2</f>
        <v>Offensive</v>
      </c>
      <c r="AH51" s="219"/>
      <c r="AJ51" s="126"/>
    </row>
    <row r="52" spans="1:36" ht="15.75" x14ac:dyDescent="0.25">
      <c r="E52" s="212" t="str">
        <f>References!$F$5</f>
        <v>Nb. Targets</v>
      </c>
      <c r="F52" s="213"/>
      <c r="G52" s="218">
        <v>1</v>
      </c>
      <c r="H52" s="219"/>
      <c r="K52" s="166"/>
      <c r="L52" s="167"/>
      <c r="M52" s="18"/>
      <c r="R52" s="212" t="str">
        <f>References!$F$5</f>
        <v>Nb. Targets</v>
      </c>
      <c r="S52" s="213"/>
      <c r="T52" s="218">
        <v>1</v>
      </c>
      <c r="U52" s="219"/>
      <c r="W52" s="126"/>
      <c r="X52" s="126"/>
      <c r="Y52" s="167"/>
      <c r="AE52" s="212" t="str">
        <f>References!$F$5</f>
        <v>Nb. Targets</v>
      </c>
      <c r="AF52" s="213"/>
      <c r="AG52" s="218">
        <v>1</v>
      </c>
      <c r="AH52" s="219"/>
      <c r="AJ52" s="126"/>
    </row>
    <row r="53" spans="1:36" ht="16.5" thickBot="1" x14ac:dyDescent="0.3">
      <c r="E53" s="214" t="str">
        <f>References!$F$6</f>
        <v>Energy cost</v>
      </c>
      <c r="F53" s="215"/>
      <c r="G53" s="216">
        <v>2</v>
      </c>
      <c r="H53" s="217"/>
      <c r="K53" s="166"/>
      <c r="L53" s="167"/>
      <c r="M53" s="18"/>
      <c r="R53" s="214" t="str">
        <f>References!$F$6</f>
        <v>Energy cost</v>
      </c>
      <c r="S53" s="215"/>
      <c r="T53" s="216">
        <v>2</v>
      </c>
      <c r="U53" s="217"/>
      <c r="W53" s="126"/>
      <c r="X53" s="166"/>
      <c r="Y53" s="167"/>
      <c r="Z53" s="18"/>
      <c r="AE53" s="214" t="str">
        <f>References!$F$6</f>
        <v>Energy cost</v>
      </c>
      <c r="AF53" s="215"/>
      <c r="AG53" s="216">
        <v>3</v>
      </c>
      <c r="AH53" s="217"/>
      <c r="AJ53" s="126"/>
    </row>
    <row r="54" spans="1:36" ht="16.5" thickBot="1" x14ac:dyDescent="0.3">
      <c r="A54" s="13"/>
      <c r="B54" s="13"/>
      <c r="C54" s="13"/>
      <c r="D54" s="13"/>
      <c r="E54" s="154"/>
      <c r="F54" s="156"/>
      <c r="G54" s="156"/>
      <c r="H54" s="13"/>
      <c r="I54" s="13"/>
      <c r="J54" s="154"/>
      <c r="K54" s="166"/>
      <c r="L54" s="167"/>
      <c r="M54" s="18"/>
      <c r="N54" s="13"/>
      <c r="O54" s="13"/>
      <c r="P54" s="13"/>
      <c r="Q54" s="13"/>
      <c r="R54" s="154"/>
      <c r="S54" s="156"/>
      <c r="T54" s="156"/>
      <c r="U54" s="13"/>
      <c r="V54" s="13"/>
      <c r="W54" s="154"/>
      <c r="X54" s="166"/>
      <c r="Y54" s="167"/>
      <c r="Z54" s="18"/>
      <c r="AA54" s="13"/>
      <c r="AB54" s="13"/>
      <c r="AC54" s="13"/>
      <c r="AD54" s="13"/>
      <c r="AE54" s="154"/>
      <c r="AF54" s="156"/>
      <c r="AG54" s="156"/>
      <c r="AH54" s="13"/>
      <c r="AI54" s="13"/>
      <c r="AJ54" s="154"/>
    </row>
    <row r="55" spans="1:36" ht="16.5" thickBot="1" x14ac:dyDescent="0.3">
      <c r="A55" s="133" t="str">
        <f>References!$G$2</f>
        <v>Type</v>
      </c>
      <c r="B55" s="135" t="str">
        <f>References!$G$3</f>
        <v>Stat</v>
      </c>
      <c r="C55" s="133" t="str">
        <f>References!$G$4</f>
        <v>Nb</v>
      </c>
      <c r="D55" s="131" t="str">
        <f>References!$G$5</f>
        <v>Turns</v>
      </c>
      <c r="E55" s="132" t="str">
        <f>References!$G$6</f>
        <v>%</v>
      </c>
      <c r="F55" s="146" t="str">
        <f>References!$G$7</f>
        <v>Nb</v>
      </c>
      <c r="G55" s="147" t="str">
        <f>References!$G$8</f>
        <v>Turns</v>
      </c>
      <c r="H55" s="133" t="str">
        <f>References!$G$9</f>
        <v>Nb</v>
      </c>
      <c r="I55" s="131" t="str">
        <f>References!$G$10</f>
        <v>Turns</v>
      </c>
      <c r="J55" s="132" t="str">
        <f>References!$G$11</f>
        <v>%</v>
      </c>
      <c r="K55" s="155"/>
      <c r="L55" s="149"/>
      <c r="M55" s="18"/>
      <c r="N55" s="133" t="str">
        <f>References!$G$2</f>
        <v>Type</v>
      </c>
      <c r="O55" s="135" t="str">
        <f>References!$G$3</f>
        <v>Stat</v>
      </c>
      <c r="P55" s="133" t="str">
        <f>References!$G$4</f>
        <v>Nb</v>
      </c>
      <c r="Q55" s="131" t="str">
        <f>References!$G$5</f>
        <v>Turns</v>
      </c>
      <c r="R55" s="132" t="str">
        <f>References!$G$6</f>
        <v>%</v>
      </c>
      <c r="S55" s="146" t="str">
        <f>References!$G$7</f>
        <v>Nb</v>
      </c>
      <c r="T55" s="147" t="str">
        <f>References!$G$8</f>
        <v>Turns</v>
      </c>
      <c r="U55" s="133" t="str">
        <f>References!$G$9</f>
        <v>Nb</v>
      </c>
      <c r="V55" s="131" t="str">
        <f>References!$G$10</f>
        <v>Turns</v>
      </c>
      <c r="W55" s="132" t="str">
        <f>References!$G$11</f>
        <v>%</v>
      </c>
      <c r="X55" s="155"/>
      <c r="Y55" s="149"/>
      <c r="Z55" s="18"/>
      <c r="AA55" s="133" t="str">
        <f>References!$G$2</f>
        <v>Type</v>
      </c>
      <c r="AB55" s="135" t="str">
        <f>References!$G$3</f>
        <v>Stat</v>
      </c>
      <c r="AC55" s="133" t="str">
        <f>References!$G$4</f>
        <v>Nb</v>
      </c>
      <c r="AD55" s="131" t="str">
        <f>References!$G$5</f>
        <v>Turns</v>
      </c>
      <c r="AE55" s="132" t="str">
        <f>References!$G$6</f>
        <v>%</v>
      </c>
      <c r="AF55" s="146" t="str">
        <f>References!$G$7</f>
        <v>Nb</v>
      </c>
      <c r="AG55" s="147" t="str">
        <f>References!$G$8</f>
        <v>Turns</v>
      </c>
      <c r="AH55" s="133" t="str">
        <f>References!$G$9</f>
        <v>Nb</v>
      </c>
      <c r="AI55" s="131" t="str">
        <f>References!$G$10</f>
        <v>Turns</v>
      </c>
      <c r="AJ55" s="132" t="str">
        <f>References!$G$11</f>
        <v>%</v>
      </c>
    </row>
    <row r="56" spans="1:36" ht="15.75" thickBot="1" x14ac:dyDescent="0.3">
      <c r="A56" s="134"/>
      <c r="B56" s="136"/>
      <c r="C56" s="248" t="str">
        <f>References!$H$2</f>
        <v>High initiative</v>
      </c>
      <c r="D56" s="249"/>
      <c r="E56" s="250"/>
      <c r="F56" s="251" t="str">
        <f>References!$H$3</f>
        <v>Standard</v>
      </c>
      <c r="G56" s="252"/>
      <c r="H56" s="253" t="str">
        <f>References!$H$4</f>
        <v>Low initiative</v>
      </c>
      <c r="I56" s="254"/>
      <c r="J56" s="255"/>
      <c r="K56" s="158"/>
      <c r="L56" s="168"/>
      <c r="M56" s="18"/>
      <c r="N56" s="137"/>
      <c r="O56" s="138"/>
      <c r="P56" s="240" t="str">
        <f>References!$H$2</f>
        <v>High initiative</v>
      </c>
      <c r="Q56" s="241"/>
      <c r="R56" s="242"/>
      <c r="S56" s="243" t="str">
        <f>References!$H$3</f>
        <v>Standard</v>
      </c>
      <c r="T56" s="244"/>
      <c r="U56" s="245" t="str">
        <f>References!$H$4</f>
        <v>Low initiative</v>
      </c>
      <c r="V56" s="246"/>
      <c r="W56" s="247"/>
      <c r="X56" s="158"/>
      <c r="Y56" s="168"/>
      <c r="Z56" s="18"/>
      <c r="AA56" s="137"/>
      <c r="AB56" s="138"/>
      <c r="AC56" s="240" t="str">
        <f>References!$H$2</f>
        <v>High initiative</v>
      </c>
      <c r="AD56" s="241"/>
      <c r="AE56" s="242"/>
      <c r="AF56" s="243" t="str">
        <f>References!$H$3</f>
        <v>Standard</v>
      </c>
      <c r="AG56" s="244"/>
      <c r="AH56" s="245" t="str">
        <f>References!$H$4</f>
        <v>Low initiative</v>
      </c>
      <c r="AI56" s="246"/>
      <c r="AJ56" s="247"/>
    </row>
    <row r="57" spans="1:36" ht="16.5" thickBot="1" x14ac:dyDescent="0.3">
      <c r="A57" s="129" t="str">
        <f>References!$C$2</f>
        <v>Direct</v>
      </c>
      <c r="B57" s="139" t="str">
        <f>References!$A$5</f>
        <v>def</v>
      </c>
      <c r="C57" s="129">
        <v>1</v>
      </c>
      <c r="D57" s="175"/>
      <c r="E57" s="140">
        <v>100</v>
      </c>
      <c r="F57" s="141">
        <v>1</v>
      </c>
      <c r="G57" s="175"/>
      <c r="H57" s="129">
        <v>1</v>
      </c>
      <c r="I57" s="175"/>
      <c r="J57" s="140">
        <v>100</v>
      </c>
      <c r="K57" s="154"/>
      <c r="L57" s="162"/>
      <c r="M57" s="18"/>
      <c r="N57" s="127" t="str">
        <f>References!$C$2</f>
        <v>Direct</v>
      </c>
      <c r="O57" s="143" t="str">
        <f>References!$A$3</f>
        <v>hp</v>
      </c>
      <c r="P57" s="127">
        <v>2</v>
      </c>
      <c r="Q57" s="145"/>
      <c r="R57" s="128">
        <v>100</v>
      </c>
      <c r="S57" s="144">
        <v>3</v>
      </c>
      <c r="T57" s="145"/>
      <c r="U57" s="127">
        <v>5</v>
      </c>
      <c r="V57" s="145"/>
      <c r="W57" s="128">
        <v>100</v>
      </c>
      <c r="X57" s="154"/>
      <c r="Y57" s="162"/>
      <c r="Z57" s="18"/>
      <c r="AA57" s="129" t="str">
        <f>References!$C$2</f>
        <v>Direct</v>
      </c>
      <c r="AB57" s="139" t="str">
        <f>References!$A$2</f>
        <v>dmg</v>
      </c>
      <c r="AC57" s="127">
        <v>6</v>
      </c>
      <c r="AD57" s="145"/>
      <c r="AE57" s="128">
        <v>50</v>
      </c>
      <c r="AF57" s="144">
        <v>7</v>
      </c>
      <c r="AG57" s="145"/>
      <c r="AH57" s="127">
        <v>8</v>
      </c>
      <c r="AI57" s="145"/>
      <c r="AJ57" s="128">
        <v>100</v>
      </c>
    </row>
    <row r="58" spans="1:36" ht="16.5" thickBot="1" x14ac:dyDescent="0.3">
      <c r="A58" s="127" t="str">
        <f>References!$C$2</f>
        <v>Direct</v>
      </c>
      <c r="B58" s="139" t="str">
        <f>References!$A$7</f>
        <v>rtl</v>
      </c>
      <c r="C58" s="129">
        <v>1</v>
      </c>
      <c r="D58" s="145"/>
      <c r="E58" s="128">
        <v>100</v>
      </c>
      <c r="F58" s="141">
        <v>1</v>
      </c>
      <c r="G58" s="145"/>
      <c r="H58" s="129">
        <v>1</v>
      </c>
      <c r="I58" s="145"/>
      <c r="J58" s="128">
        <v>100</v>
      </c>
      <c r="K58" s="154"/>
      <c r="L58" s="162"/>
      <c r="M58" s="18"/>
      <c r="X58" s="154"/>
      <c r="Y58" s="162"/>
      <c r="Z58" s="18"/>
      <c r="AA58" s="129" t="str">
        <f>References!$C$5</f>
        <v>SelfTemp</v>
      </c>
      <c r="AB58" s="139" t="str">
        <f>References!$A$5</f>
        <v>def</v>
      </c>
      <c r="AC58" s="127">
        <v>-2</v>
      </c>
      <c r="AD58" s="130">
        <v>1</v>
      </c>
      <c r="AE58" s="128">
        <v>100</v>
      </c>
      <c r="AF58" s="144">
        <v>-2</v>
      </c>
      <c r="AG58" s="142">
        <v>1</v>
      </c>
      <c r="AH58" s="127">
        <v>-2</v>
      </c>
      <c r="AI58" s="130">
        <v>1</v>
      </c>
      <c r="AJ58" s="128">
        <v>100</v>
      </c>
    </row>
    <row r="59" spans="1:36" ht="16.5" thickBot="1" x14ac:dyDescent="0.3">
      <c r="A59" s="129" t="str">
        <f>References!$C$3</f>
        <v>Temp</v>
      </c>
      <c r="B59" s="139" t="str">
        <f>References!$A$5</f>
        <v>def</v>
      </c>
      <c r="C59" s="127">
        <v>0</v>
      </c>
      <c r="D59" s="130">
        <v>1</v>
      </c>
      <c r="E59" s="128">
        <v>100</v>
      </c>
      <c r="F59" s="144">
        <v>2</v>
      </c>
      <c r="G59" s="142">
        <v>1</v>
      </c>
      <c r="H59" s="127">
        <v>2</v>
      </c>
      <c r="I59" s="130">
        <v>1</v>
      </c>
      <c r="J59" s="128">
        <v>100</v>
      </c>
      <c r="L59" s="167"/>
      <c r="Y59" s="163"/>
      <c r="AA59" s="129" t="str">
        <f>References!$C$5</f>
        <v>SelfTemp</v>
      </c>
      <c r="AB59" s="139" t="str">
        <f>References!$A$6</f>
        <v>spd</v>
      </c>
      <c r="AC59" s="127">
        <v>-2</v>
      </c>
      <c r="AD59" s="130">
        <v>1</v>
      </c>
      <c r="AE59" s="128">
        <v>100</v>
      </c>
      <c r="AF59" s="144">
        <v>-2</v>
      </c>
      <c r="AG59" s="142">
        <v>1</v>
      </c>
      <c r="AH59" s="127">
        <v>-2</v>
      </c>
      <c r="AI59" s="130">
        <v>1</v>
      </c>
      <c r="AJ59" s="128">
        <v>100</v>
      </c>
    </row>
    <row r="60" spans="1:36" ht="16.5" thickBot="1" x14ac:dyDescent="0.3">
      <c r="A60" s="129" t="str">
        <f>References!$C$3</f>
        <v>Temp</v>
      </c>
      <c r="B60" s="139" t="str">
        <f>References!$A$7</f>
        <v>rtl</v>
      </c>
      <c r="C60" s="129">
        <v>0</v>
      </c>
      <c r="D60" s="130">
        <v>1</v>
      </c>
      <c r="E60" s="128">
        <v>100</v>
      </c>
      <c r="F60" s="141">
        <v>1</v>
      </c>
      <c r="G60" s="142">
        <v>1</v>
      </c>
      <c r="H60" s="129">
        <v>2</v>
      </c>
      <c r="I60" s="130">
        <v>1</v>
      </c>
      <c r="J60" s="128">
        <v>100</v>
      </c>
      <c r="L60" s="167"/>
      <c r="Y60" s="163"/>
    </row>
  </sheetData>
  <mergeCells count="144">
    <mergeCell ref="AC56:AE56"/>
    <mergeCell ref="AF56:AG56"/>
    <mergeCell ref="AH56:AJ56"/>
    <mergeCell ref="C56:E56"/>
    <mergeCell ref="F56:G56"/>
    <mergeCell ref="H56:J56"/>
    <mergeCell ref="P56:R56"/>
    <mergeCell ref="S56:T56"/>
    <mergeCell ref="U56:W56"/>
    <mergeCell ref="E53:F53"/>
    <mergeCell ref="G53:H53"/>
    <mergeCell ref="R53:S53"/>
    <mergeCell ref="T53:U53"/>
    <mergeCell ref="AE53:AF53"/>
    <mergeCell ref="AG53:AH53"/>
    <mergeCell ref="E52:F52"/>
    <mergeCell ref="G52:H52"/>
    <mergeCell ref="R52:S52"/>
    <mergeCell ref="T52:U52"/>
    <mergeCell ref="AE52:AF52"/>
    <mergeCell ref="AG52:AH52"/>
    <mergeCell ref="E51:F51"/>
    <mergeCell ref="G51:H51"/>
    <mergeCell ref="R51:S51"/>
    <mergeCell ref="T51:U51"/>
    <mergeCell ref="AE51:AF51"/>
    <mergeCell ref="AG51:AH51"/>
    <mergeCell ref="E50:F50"/>
    <mergeCell ref="G50:H50"/>
    <mergeCell ref="R50:S50"/>
    <mergeCell ref="T50:U50"/>
    <mergeCell ref="AE50:AF50"/>
    <mergeCell ref="AG50:AH50"/>
    <mergeCell ref="AC42:AE42"/>
    <mergeCell ref="AF42:AG42"/>
    <mergeCell ref="AH42:AJ42"/>
    <mergeCell ref="E49:F49"/>
    <mergeCell ref="G49:H49"/>
    <mergeCell ref="R49:S49"/>
    <mergeCell ref="T49:U49"/>
    <mergeCell ref="AE49:AF49"/>
    <mergeCell ref="AG49:AH49"/>
    <mergeCell ref="C42:E42"/>
    <mergeCell ref="F42:G42"/>
    <mergeCell ref="H42:J42"/>
    <mergeCell ref="P42:R42"/>
    <mergeCell ref="S42:T42"/>
    <mergeCell ref="U42:W42"/>
    <mergeCell ref="E39:F39"/>
    <mergeCell ref="G39:H39"/>
    <mergeCell ref="R39:S39"/>
    <mergeCell ref="T39:U39"/>
    <mergeCell ref="AE39:AF39"/>
    <mergeCell ref="AG39:AH39"/>
    <mergeCell ref="E38:F38"/>
    <mergeCell ref="G38:H38"/>
    <mergeCell ref="R38:S38"/>
    <mergeCell ref="T38:U38"/>
    <mergeCell ref="AE38:AF38"/>
    <mergeCell ref="AG38:AH38"/>
    <mergeCell ref="E37:F37"/>
    <mergeCell ref="G37:H37"/>
    <mergeCell ref="R37:S37"/>
    <mergeCell ref="T37:U37"/>
    <mergeCell ref="AE37:AF37"/>
    <mergeCell ref="AG37:AH37"/>
    <mergeCell ref="E36:F36"/>
    <mergeCell ref="G36:H36"/>
    <mergeCell ref="R36:S36"/>
    <mergeCell ref="T36:U36"/>
    <mergeCell ref="AE36:AF36"/>
    <mergeCell ref="AG36:AH36"/>
    <mergeCell ref="AC26:AE26"/>
    <mergeCell ref="AF26:AG26"/>
    <mergeCell ref="AH26:AJ26"/>
    <mergeCell ref="E35:F35"/>
    <mergeCell ref="G35:H35"/>
    <mergeCell ref="R35:S35"/>
    <mergeCell ref="T35:U35"/>
    <mergeCell ref="AE35:AF35"/>
    <mergeCell ref="AG35:AH35"/>
    <mergeCell ref="C26:E26"/>
    <mergeCell ref="F26:G26"/>
    <mergeCell ref="H26:J26"/>
    <mergeCell ref="P26:R26"/>
    <mergeCell ref="S26:T26"/>
    <mergeCell ref="U26:W26"/>
    <mergeCell ref="E23:F23"/>
    <mergeCell ref="G23:H23"/>
    <mergeCell ref="R23:S23"/>
    <mergeCell ref="T23:U23"/>
    <mergeCell ref="AE23:AF23"/>
    <mergeCell ref="AG23:AH23"/>
    <mergeCell ref="E22:F22"/>
    <mergeCell ref="G22:H22"/>
    <mergeCell ref="R22:S22"/>
    <mergeCell ref="T22:U22"/>
    <mergeCell ref="AE22:AF22"/>
    <mergeCell ref="AG22:AH22"/>
    <mergeCell ref="E21:F21"/>
    <mergeCell ref="G21:H21"/>
    <mergeCell ref="R21:S21"/>
    <mergeCell ref="T21:U21"/>
    <mergeCell ref="AE21:AF21"/>
    <mergeCell ref="AG21:AH21"/>
    <mergeCell ref="E20:F20"/>
    <mergeCell ref="G20:H20"/>
    <mergeCell ref="R20:S20"/>
    <mergeCell ref="T20:U20"/>
    <mergeCell ref="AE20:AF20"/>
    <mergeCell ref="AG20:AH20"/>
    <mergeCell ref="E19:F19"/>
    <mergeCell ref="G19:H19"/>
    <mergeCell ref="R19:S19"/>
    <mergeCell ref="T19:U19"/>
    <mergeCell ref="AE19:AF19"/>
    <mergeCell ref="AG19:AH19"/>
    <mergeCell ref="E7:F7"/>
    <mergeCell ref="G7:H7"/>
    <mergeCell ref="R7:S7"/>
    <mergeCell ref="T7:U7"/>
    <mergeCell ref="C10:E10"/>
    <mergeCell ref="F10:G10"/>
    <mergeCell ref="H10:J10"/>
    <mergeCell ref="P10:R10"/>
    <mergeCell ref="S10:T10"/>
    <mergeCell ref="U10:W10"/>
    <mergeCell ref="E5:F5"/>
    <mergeCell ref="G5:H5"/>
    <mergeCell ref="R5:S5"/>
    <mergeCell ref="T5:U5"/>
    <mergeCell ref="E6:F6"/>
    <mergeCell ref="G6:H6"/>
    <mergeCell ref="R6:S6"/>
    <mergeCell ref="T6:U6"/>
    <mergeCell ref="A1:AJ1"/>
    <mergeCell ref="E3:F3"/>
    <mergeCell ref="G3:H3"/>
    <mergeCell ref="R3:S3"/>
    <mergeCell ref="T3:U3"/>
    <mergeCell ref="E4:F4"/>
    <mergeCell ref="G4:H4"/>
    <mergeCell ref="R4:S4"/>
    <mergeCell ref="T4:U4"/>
  </mergeCells>
  <printOptions horizontalCentered="1" verticalCentered="1"/>
  <pageMargins left="7.874015748031496E-2" right="7.874015748031496E-2" top="7.874015748031496E-2" bottom="0" header="0" footer="7.874015748031496E-2"/>
  <pageSetup scale="64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B8124-452C-4570-9420-A10D058CC8C3}">
  <sheetPr>
    <pageSetUpPr fitToPage="1"/>
  </sheetPr>
  <dimension ref="A1:AJ60"/>
  <sheetViews>
    <sheetView topLeftCell="A31" workbookViewId="0">
      <selection activeCell="AJ57" sqref="AA49:AJ57"/>
    </sheetView>
  </sheetViews>
  <sheetFormatPr defaultRowHeight="15" x14ac:dyDescent="0.25"/>
  <cols>
    <col min="1" max="1" width="9.42578125" bestFit="1" customWidth="1"/>
    <col min="2" max="2" width="4.85546875" bestFit="1" customWidth="1"/>
    <col min="3" max="3" width="3.5703125" bestFit="1" customWidth="1"/>
    <col min="4" max="4" width="5.85546875" bestFit="1" customWidth="1"/>
    <col min="5" max="5" width="6.5703125" bestFit="1" customWidth="1"/>
    <col min="6" max="7" width="8.140625" customWidth="1"/>
    <col min="8" max="8" width="8.28515625" customWidth="1"/>
    <col min="9" max="9" width="5.85546875" bestFit="1" customWidth="1"/>
    <col min="10" max="10" width="6.5703125" style="126" bestFit="1" customWidth="1"/>
    <col min="11" max="12" width="1.28515625" style="126" customWidth="1"/>
    <col min="13" max="13" width="1.42578125" customWidth="1"/>
    <col min="14" max="14" width="7.5703125" bestFit="1" customWidth="1"/>
    <col min="15" max="15" width="4.85546875" bestFit="1" customWidth="1"/>
    <col min="16" max="16" width="3.5703125" bestFit="1" customWidth="1"/>
    <col min="17" max="17" width="5.85546875" bestFit="1" customWidth="1"/>
    <col min="18" max="18" width="6.5703125" bestFit="1" customWidth="1"/>
    <col min="21" max="21" width="3.5703125" bestFit="1" customWidth="1"/>
    <col min="22" max="22" width="5.85546875" bestFit="1" customWidth="1"/>
    <col min="23" max="23" width="6.5703125" bestFit="1" customWidth="1"/>
    <col min="24" max="24" width="1.42578125" customWidth="1"/>
    <col min="25" max="25" width="1.28515625" customWidth="1"/>
    <col min="26" max="26" width="1.42578125" customWidth="1"/>
    <col min="27" max="27" width="6.28515625" bestFit="1" customWidth="1"/>
    <col min="28" max="28" width="4.85546875" bestFit="1" customWidth="1"/>
    <col min="29" max="29" width="3.5703125" bestFit="1" customWidth="1"/>
    <col min="30" max="30" width="5.85546875" bestFit="1" customWidth="1"/>
    <col min="31" max="31" width="6.5703125" bestFit="1" customWidth="1"/>
    <col min="34" max="34" width="3.5703125" bestFit="1" customWidth="1"/>
    <col min="35" max="35" width="5.85546875" bestFit="1" customWidth="1"/>
    <col min="36" max="36" width="6.5703125" bestFit="1" customWidth="1"/>
  </cols>
  <sheetData>
    <row r="1" spans="1:36" ht="28.5" x14ac:dyDescent="0.45">
      <c r="A1" s="237" t="s">
        <v>100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  <c r="Y1" s="237"/>
      <c r="Z1" s="237"/>
      <c r="AA1" s="237"/>
      <c r="AB1" s="237"/>
      <c r="AC1" s="237"/>
      <c r="AD1" s="237"/>
      <c r="AE1" s="237"/>
      <c r="AF1" s="237"/>
      <c r="AG1" s="237"/>
      <c r="AH1" s="237"/>
      <c r="AI1" s="237"/>
      <c r="AJ1" s="237"/>
    </row>
    <row r="2" spans="1:36" ht="15.75" thickBot="1" x14ac:dyDescent="0.3"/>
    <row r="3" spans="1:36" ht="15.75" x14ac:dyDescent="0.25">
      <c r="E3" s="224" t="str">
        <f>References!$F$2</f>
        <v>Name</v>
      </c>
      <c r="F3" s="225"/>
      <c r="G3" s="222" t="s">
        <v>95</v>
      </c>
      <c r="H3" s="223"/>
      <c r="R3" s="224" t="str">
        <f>References!$F$2</f>
        <v>Name</v>
      </c>
      <c r="S3" s="225"/>
      <c r="T3" s="222" t="s">
        <v>93</v>
      </c>
      <c r="U3" s="223"/>
      <c r="W3" s="126"/>
      <c r="X3" s="126"/>
      <c r="Y3" s="126"/>
      <c r="AA3" s="152"/>
      <c r="AB3" s="153"/>
      <c r="AC3" s="13"/>
      <c r="AD3" s="13"/>
      <c r="AE3" s="13"/>
      <c r="AF3" s="13"/>
      <c r="AG3" s="13"/>
      <c r="AH3" s="13"/>
      <c r="AI3" s="13"/>
      <c r="AJ3" s="154"/>
    </row>
    <row r="4" spans="1:36" ht="15.75" x14ac:dyDescent="0.25">
      <c r="E4" s="212" t="str">
        <f>References!$F$3</f>
        <v>Class</v>
      </c>
      <c r="F4" s="213"/>
      <c r="G4" s="218" t="str">
        <f>References!$D$3</f>
        <v>Scoundrel</v>
      </c>
      <c r="H4" s="219"/>
      <c r="R4" s="212" t="str">
        <f>References!$F$3</f>
        <v>Class</v>
      </c>
      <c r="S4" s="213"/>
      <c r="T4" s="218" t="str">
        <f>References!$D$3</f>
        <v>Scoundrel</v>
      </c>
      <c r="U4" s="219"/>
      <c r="W4" s="126"/>
      <c r="X4" s="126"/>
      <c r="Y4" s="126"/>
      <c r="AA4" s="152"/>
      <c r="AB4" s="153"/>
      <c r="AC4" s="13"/>
      <c r="AD4" s="13"/>
      <c r="AE4" s="13"/>
      <c r="AF4" s="13"/>
      <c r="AG4" s="13"/>
      <c r="AH4" s="13"/>
      <c r="AI4" s="13"/>
      <c r="AJ4" s="154"/>
    </row>
    <row r="5" spans="1:36" ht="15.75" x14ac:dyDescent="0.25">
      <c r="E5" s="212" t="str">
        <f>References!$F$4</f>
        <v>Type</v>
      </c>
      <c r="F5" s="213"/>
      <c r="G5" s="218" t="str">
        <f>References!$B$2</f>
        <v>Offensive</v>
      </c>
      <c r="H5" s="219"/>
      <c r="R5" s="212" t="str">
        <f>References!$F$4</f>
        <v>Type</v>
      </c>
      <c r="S5" s="213"/>
      <c r="T5" s="218" t="str">
        <f>References!$B$3</f>
        <v>Defensive</v>
      </c>
      <c r="U5" s="219"/>
      <c r="W5" s="126"/>
      <c r="X5" s="126"/>
      <c r="Y5" s="126"/>
      <c r="AA5" s="152"/>
      <c r="AB5" s="153"/>
      <c r="AC5" s="13"/>
      <c r="AD5" s="13"/>
      <c r="AE5" s="13"/>
      <c r="AF5" s="13"/>
      <c r="AG5" s="13"/>
      <c r="AH5" s="13"/>
      <c r="AI5" s="13"/>
      <c r="AJ5" s="154"/>
    </row>
    <row r="6" spans="1:36" ht="15.75" x14ac:dyDescent="0.25">
      <c r="E6" s="212" t="str">
        <f>References!$F$5</f>
        <v>Nb. Targets</v>
      </c>
      <c r="F6" s="213"/>
      <c r="G6" s="218">
        <v>1</v>
      </c>
      <c r="H6" s="219"/>
      <c r="R6" s="212" t="str">
        <f>References!$F$5</f>
        <v>Nb. Targets</v>
      </c>
      <c r="S6" s="213"/>
      <c r="T6" s="218">
        <v>1</v>
      </c>
      <c r="U6" s="219"/>
      <c r="W6" s="126"/>
      <c r="X6" s="126"/>
      <c r="Y6" s="126"/>
      <c r="AA6" s="152"/>
      <c r="AB6" s="153"/>
      <c r="AC6" s="13"/>
      <c r="AD6" s="13"/>
      <c r="AE6" s="13"/>
      <c r="AF6" s="13"/>
      <c r="AG6" s="13"/>
      <c r="AH6" s="13"/>
      <c r="AI6" s="13"/>
      <c r="AJ6" s="154"/>
    </row>
    <row r="7" spans="1:36" ht="16.5" thickBot="1" x14ac:dyDescent="0.3">
      <c r="E7" s="214" t="str">
        <f>References!$F$6</f>
        <v>Energy cost</v>
      </c>
      <c r="F7" s="215"/>
      <c r="G7" s="216">
        <v>3</v>
      </c>
      <c r="H7" s="217"/>
      <c r="R7" s="214" t="str">
        <f>References!$F$6</f>
        <v>Energy cost</v>
      </c>
      <c r="S7" s="215"/>
      <c r="T7" s="216">
        <v>1</v>
      </c>
      <c r="U7" s="217"/>
      <c r="W7" s="126"/>
      <c r="X7" s="126"/>
      <c r="Y7" s="126"/>
      <c r="AA7" s="152"/>
      <c r="AB7" s="153"/>
      <c r="AC7" s="13"/>
      <c r="AD7" s="13"/>
      <c r="AE7" s="13"/>
      <c r="AF7" s="13"/>
      <c r="AG7" s="13"/>
      <c r="AH7" s="13"/>
      <c r="AI7" s="13"/>
      <c r="AJ7" s="154"/>
    </row>
    <row r="8" spans="1:36" ht="16.5" thickBot="1" x14ac:dyDescent="0.3">
      <c r="A8" s="13"/>
      <c r="B8" s="13"/>
      <c r="C8" s="13"/>
      <c r="D8" s="13"/>
      <c r="E8" s="154"/>
      <c r="F8" s="156"/>
      <c r="G8" s="156"/>
      <c r="H8" s="13"/>
      <c r="I8" s="13"/>
      <c r="J8" s="154"/>
      <c r="N8" s="13"/>
      <c r="O8" s="13"/>
      <c r="P8" s="13"/>
      <c r="Q8" s="13"/>
      <c r="R8" s="154"/>
      <c r="S8" s="156"/>
      <c r="T8" s="156"/>
      <c r="U8" s="13"/>
      <c r="V8" s="13"/>
      <c r="W8" s="154"/>
      <c r="X8" s="126"/>
      <c r="Y8" s="126"/>
      <c r="AA8" s="152"/>
      <c r="AB8" s="153"/>
      <c r="AC8" s="13"/>
      <c r="AD8" s="13"/>
      <c r="AE8" s="13"/>
      <c r="AF8" s="13"/>
      <c r="AG8" s="13"/>
      <c r="AH8" s="13"/>
      <c r="AI8" s="13"/>
      <c r="AJ8" s="154"/>
    </row>
    <row r="9" spans="1:36" ht="16.5" thickBot="1" x14ac:dyDescent="0.3">
      <c r="A9" s="133" t="str">
        <f>References!$G$2</f>
        <v>Type</v>
      </c>
      <c r="B9" s="135" t="str">
        <f>References!$G$3</f>
        <v>Stat</v>
      </c>
      <c r="C9" s="133" t="str">
        <f>References!$G$4</f>
        <v>Nb</v>
      </c>
      <c r="D9" s="131" t="str">
        <f>References!$G$5</f>
        <v>Turns</v>
      </c>
      <c r="E9" s="132" t="str">
        <f>References!$G$6</f>
        <v>%</v>
      </c>
      <c r="F9" s="146" t="str">
        <f>References!$G$7</f>
        <v>Nb</v>
      </c>
      <c r="G9" s="147" t="str">
        <f>References!$G$8</f>
        <v>Turns</v>
      </c>
      <c r="H9" s="133" t="str">
        <f>References!$G$9</f>
        <v>Nb</v>
      </c>
      <c r="I9" s="131" t="str">
        <f>References!$G$10</f>
        <v>Turns</v>
      </c>
      <c r="J9" s="132" t="str">
        <f>References!$G$11</f>
        <v>%</v>
      </c>
      <c r="K9" s="155"/>
      <c r="L9" s="155"/>
      <c r="N9" s="133" t="str">
        <f>References!$G$2</f>
        <v>Type</v>
      </c>
      <c r="O9" s="135" t="str">
        <f>References!$G$3</f>
        <v>Stat</v>
      </c>
      <c r="P9" s="133" t="str">
        <f>References!$G$4</f>
        <v>Nb</v>
      </c>
      <c r="Q9" s="131" t="str">
        <f>References!$G$5</f>
        <v>Turns</v>
      </c>
      <c r="R9" s="132" t="str">
        <f>References!$G$6</f>
        <v>%</v>
      </c>
      <c r="S9" s="146" t="str">
        <f>References!$G$7</f>
        <v>Nb</v>
      </c>
      <c r="T9" s="147" t="str">
        <f>References!$G$8</f>
        <v>Turns</v>
      </c>
      <c r="U9" s="133" t="str">
        <f>References!$G$9</f>
        <v>Nb</v>
      </c>
      <c r="V9" s="131" t="str">
        <f>References!$G$10</f>
        <v>Turns</v>
      </c>
      <c r="W9" s="132" t="str">
        <f>References!$G$11</f>
        <v>%</v>
      </c>
      <c r="X9" s="155"/>
      <c r="Y9" s="155"/>
      <c r="Z9" s="18"/>
      <c r="AA9" s="152"/>
      <c r="AB9" s="152"/>
      <c r="AC9" s="152"/>
      <c r="AD9" s="152"/>
      <c r="AE9" s="155"/>
      <c r="AF9" s="156"/>
      <c r="AG9" s="156"/>
      <c r="AH9" s="152"/>
      <c r="AI9" s="152"/>
      <c r="AJ9" s="155"/>
    </row>
    <row r="10" spans="1:36" ht="15.75" thickBot="1" x14ac:dyDescent="0.3">
      <c r="A10" s="137"/>
      <c r="B10" s="138"/>
      <c r="C10" s="240" t="str">
        <f>References!$H$2</f>
        <v>High initiative</v>
      </c>
      <c r="D10" s="241"/>
      <c r="E10" s="242"/>
      <c r="F10" s="243" t="str">
        <f>References!$H$3</f>
        <v>Standard</v>
      </c>
      <c r="G10" s="244"/>
      <c r="H10" s="245" t="str">
        <f>References!$H$4</f>
        <v>Low initiative</v>
      </c>
      <c r="I10" s="246"/>
      <c r="J10" s="247"/>
      <c r="K10" s="160"/>
      <c r="L10" s="160"/>
      <c r="N10" s="137"/>
      <c r="O10" s="138"/>
      <c r="P10" s="240" t="str">
        <f>References!$H$2</f>
        <v>High initiative</v>
      </c>
      <c r="Q10" s="241"/>
      <c r="R10" s="242"/>
      <c r="S10" s="243" t="str">
        <f>References!$H$3</f>
        <v>Standard</v>
      </c>
      <c r="T10" s="244"/>
      <c r="U10" s="245" t="str">
        <f>References!$H$4</f>
        <v>Low initiative</v>
      </c>
      <c r="V10" s="246"/>
      <c r="W10" s="247"/>
      <c r="X10" s="158"/>
      <c r="Y10" s="158"/>
      <c r="Z10" s="18"/>
      <c r="AA10" s="157"/>
      <c r="AB10" s="157"/>
      <c r="AC10" s="157"/>
      <c r="AD10" s="157"/>
      <c r="AE10" s="157"/>
      <c r="AF10" s="159"/>
      <c r="AG10" s="159"/>
      <c r="AH10" s="157"/>
      <c r="AI10" s="157"/>
      <c r="AJ10" s="157"/>
    </row>
    <row r="11" spans="1:36" ht="16.5" thickBot="1" x14ac:dyDescent="0.3">
      <c r="A11" s="127" t="str">
        <f>References!$C$2</f>
        <v>Direct</v>
      </c>
      <c r="B11" s="143" t="str">
        <f>References!$A$2</f>
        <v>dmg</v>
      </c>
      <c r="C11" s="127">
        <v>1</v>
      </c>
      <c r="D11" s="145"/>
      <c r="E11" s="128">
        <f>(1/3)*100</f>
        <v>33.333333333333329</v>
      </c>
      <c r="F11" s="144">
        <v>2</v>
      </c>
      <c r="G11" s="145"/>
      <c r="H11" s="127">
        <v>3</v>
      </c>
      <c r="I11" s="145"/>
      <c r="J11" s="128">
        <f>(2/3)*100</f>
        <v>66.666666666666657</v>
      </c>
      <c r="K11" s="148"/>
      <c r="L11" s="148"/>
      <c r="N11" s="127" t="str">
        <f>References!$C$3</f>
        <v>Temp</v>
      </c>
      <c r="O11" s="143" t="str">
        <f>References!$A$6</f>
        <v>spd</v>
      </c>
      <c r="P11" s="127">
        <v>1</v>
      </c>
      <c r="Q11" s="169">
        <v>1</v>
      </c>
      <c r="R11" s="128">
        <v>100</v>
      </c>
      <c r="S11" s="144">
        <v>1</v>
      </c>
      <c r="T11" s="144">
        <v>2</v>
      </c>
      <c r="U11" s="127">
        <v>1</v>
      </c>
      <c r="V11" s="169">
        <v>3</v>
      </c>
      <c r="W11" s="128">
        <v>100</v>
      </c>
      <c r="X11" s="154"/>
      <c r="Y11" s="154"/>
      <c r="Z11" s="18"/>
      <c r="AA11" s="13"/>
      <c r="AB11" s="13"/>
      <c r="AC11" s="13"/>
      <c r="AD11" s="156"/>
      <c r="AE11" s="154"/>
      <c r="AF11" s="156"/>
      <c r="AG11" s="156"/>
      <c r="AH11" s="13"/>
      <c r="AI11" s="156"/>
      <c r="AJ11" s="154"/>
    </row>
    <row r="12" spans="1:36" ht="16.5" thickBot="1" x14ac:dyDescent="0.3">
      <c r="A12" s="129" t="str">
        <f>References!$C$3</f>
        <v>Temp</v>
      </c>
      <c r="B12" s="143" t="str">
        <f>References!$A$2</f>
        <v>dmg</v>
      </c>
      <c r="C12" s="129">
        <v>1</v>
      </c>
      <c r="D12" s="130">
        <v>2</v>
      </c>
      <c r="E12" s="140">
        <f>(1/3)*100</f>
        <v>33.333333333333329</v>
      </c>
      <c r="F12" s="141">
        <v>2</v>
      </c>
      <c r="G12" s="142">
        <v>2</v>
      </c>
      <c r="H12" s="129">
        <v>2</v>
      </c>
      <c r="I12" s="130">
        <v>2</v>
      </c>
      <c r="J12" s="140">
        <f>(1/3)*100</f>
        <v>33.333333333333329</v>
      </c>
      <c r="K12" s="148"/>
      <c r="L12" s="148"/>
      <c r="N12" s="13"/>
      <c r="O12" s="13"/>
      <c r="P12" s="13"/>
      <c r="Q12" s="13"/>
      <c r="R12" s="154"/>
      <c r="S12" s="156"/>
      <c r="T12" s="156"/>
      <c r="U12" s="13"/>
      <c r="V12" s="13"/>
      <c r="W12" s="154"/>
      <c r="X12" s="154"/>
      <c r="Y12" s="154"/>
      <c r="Z12" s="18"/>
      <c r="AA12" s="13"/>
      <c r="AB12" s="13"/>
      <c r="AC12" s="13"/>
      <c r="AD12" s="13"/>
      <c r="AE12" s="154"/>
      <c r="AF12" s="156"/>
      <c r="AG12" s="156"/>
      <c r="AH12" s="13"/>
      <c r="AI12" s="13"/>
      <c r="AJ12" s="154"/>
    </row>
    <row r="13" spans="1:36" x14ac:dyDescent="0.25">
      <c r="X13" s="18"/>
      <c r="Y13" s="18"/>
      <c r="Z13" s="18"/>
    </row>
    <row r="14" spans="1:36" x14ac:dyDescent="0.25">
      <c r="X14" s="18"/>
      <c r="Y14" s="18"/>
      <c r="Z14" s="18"/>
    </row>
    <row r="15" spans="1:36" x14ac:dyDescent="0.25">
      <c r="X15" s="18"/>
      <c r="Y15" s="18"/>
      <c r="Z15" s="18"/>
    </row>
    <row r="16" spans="1:36" x14ac:dyDescent="0.25">
      <c r="X16" s="18"/>
      <c r="Y16" s="18"/>
      <c r="Z16" s="18"/>
    </row>
    <row r="17" spans="1:36" ht="6" customHeight="1" x14ac:dyDescent="0.25">
      <c r="A17" s="164"/>
      <c r="B17" s="164"/>
      <c r="C17" s="164"/>
      <c r="D17" s="164"/>
      <c r="E17" s="164"/>
      <c r="F17" s="164"/>
      <c r="G17" s="164"/>
      <c r="H17" s="164"/>
      <c r="I17" s="164"/>
      <c r="J17" s="165"/>
      <c r="K17" s="165"/>
      <c r="L17" s="165"/>
      <c r="M17" s="164"/>
      <c r="N17" s="164"/>
      <c r="O17" s="164"/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64"/>
      <c r="AA17" s="164"/>
      <c r="AB17" s="164"/>
      <c r="AC17" s="164"/>
      <c r="AD17" s="164"/>
      <c r="AE17" s="164"/>
      <c r="AF17" s="164"/>
      <c r="AG17" s="164"/>
      <c r="AH17" s="164"/>
      <c r="AI17" s="164"/>
      <c r="AJ17" s="164"/>
    </row>
    <row r="18" spans="1:36" ht="15.75" thickBot="1" x14ac:dyDescent="0.3">
      <c r="X18" s="18"/>
      <c r="Y18" s="18"/>
      <c r="Z18" s="18"/>
    </row>
    <row r="19" spans="1:36" ht="15.75" x14ac:dyDescent="0.25">
      <c r="E19" s="224" t="str">
        <f>References!$F$2</f>
        <v>Name</v>
      </c>
      <c r="F19" s="225"/>
      <c r="G19" s="222" t="s">
        <v>92</v>
      </c>
      <c r="H19" s="223"/>
      <c r="R19" s="224" t="str">
        <f>References!$F$2</f>
        <v>Name</v>
      </c>
      <c r="S19" s="225"/>
      <c r="T19" s="222" t="s">
        <v>16</v>
      </c>
      <c r="U19" s="223"/>
      <c r="W19" s="126"/>
      <c r="X19" s="166"/>
      <c r="Y19" s="166"/>
      <c r="Z19" s="18"/>
      <c r="AE19" s="224" t="str">
        <f>References!$F$2</f>
        <v>Name</v>
      </c>
      <c r="AF19" s="225"/>
      <c r="AG19" s="222" t="s">
        <v>94</v>
      </c>
      <c r="AH19" s="223"/>
      <c r="AJ19" s="126"/>
    </row>
    <row r="20" spans="1:36" ht="15.75" x14ac:dyDescent="0.25">
      <c r="E20" s="212" t="str">
        <f>References!$F$3</f>
        <v>Class</v>
      </c>
      <c r="F20" s="213"/>
      <c r="G20" s="218" t="e">
        <f>References!#REF!</f>
        <v>#REF!</v>
      </c>
      <c r="H20" s="219"/>
      <c r="R20" s="212" t="str">
        <f>References!$F$3</f>
        <v>Class</v>
      </c>
      <c r="S20" s="213"/>
      <c r="T20" s="218" t="str">
        <f>References!$E$7</f>
        <v>Assassin</v>
      </c>
      <c r="U20" s="219"/>
      <c r="W20" s="126"/>
      <c r="X20" s="166"/>
      <c r="Y20" s="166"/>
      <c r="Z20" s="18"/>
      <c r="AE20" s="212" t="str">
        <f>References!$F$3</f>
        <v>Class</v>
      </c>
      <c r="AF20" s="213"/>
      <c r="AG20" s="218" t="str">
        <f>References!$E$8</f>
        <v>Necromancer</v>
      </c>
      <c r="AH20" s="219"/>
      <c r="AJ20" s="126"/>
    </row>
    <row r="21" spans="1:36" ht="15.75" x14ac:dyDescent="0.25">
      <c r="E21" s="212" t="str">
        <f>References!$F$4</f>
        <v>Type</v>
      </c>
      <c r="F21" s="213"/>
      <c r="G21" s="218" t="str">
        <f>References!$B$3</f>
        <v>Defensive</v>
      </c>
      <c r="H21" s="219"/>
      <c r="R21" s="212" t="str">
        <f>References!$F$4</f>
        <v>Type</v>
      </c>
      <c r="S21" s="213"/>
      <c r="T21" s="218" t="str">
        <f>References!$B$4</f>
        <v>Passive</v>
      </c>
      <c r="U21" s="219"/>
      <c r="W21" s="126"/>
      <c r="X21" s="166"/>
      <c r="Y21" s="166"/>
      <c r="Z21" s="18"/>
      <c r="AE21" s="212" t="str">
        <f>References!$F$4</f>
        <v>Type</v>
      </c>
      <c r="AF21" s="213"/>
      <c r="AG21" s="218" t="str">
        <f>References!B3</f>
        <v>Defensive</v>
      </c>
      <c r="AH21" s="219"/>
      <c r="AJ21" s="126"/>
    </row>
    <row r="22" spans="1:36" ht="15.75" x14ac:dyDescent="0.25">
      <c r="E22" s="212" t="str">
        <f>References!$F$5</f>
        <v>Nb. Targets</v>
      </c>
      <c r="F22" s="213"/>
      <c r="G22" s="218">
        <v>1</v>
      </c>
      <c r="H22" s="219"/>
      <c r="R22" s="212" t="str">
        <f>References!$F$5</f>
        <v>Nb. Targets</v>
      </c>
      <c r="S22" s="213"/>
      <c r="T22" s="229"/>
      <c r="U22" s="234"/>
      <c r="W22" s="126"/>
      <c r="X22" s="166"/>
      <c r="Y22" s="166"/>
      <c r="Z22" s="18"/>
      <c r="AE22" s="212" t="str">
        <f>References!$F$5</f>
        <v>Nb. Targets</v>
      </c>
      <c r="AF22" s="213"/>
      <c r="AG22" s="229"/>
      <c r="AH22" s="234"/>
      <c r="AJ22" s="126"/>
    </row>
    <row r="23" spans="1:36" ht="16.5" thickBot="1" x14ac:dyDescent="0.3">
      <c r="E23" s="214" t="str">
        <f>References!$F$6</f>
        <v>Energy cost</v>
      </c>
      <c r="F23" s="215"/>
      <c r="G23" s="216">
        <v>3</v>
      </c>
      <c r="H23" s="217"/>
      <c r="R23" s="214" t="str">
        <f>References!$F$6</f>
        <v>Energy cost</v>
      </c>
      <c r="S23" s="215"/>
      <c r="T23" s="232"/>
      <c r="U23" s="233"/>
      <c r="W23" s="126"/>
      <c r="X23" s="166"/>
      <c r="Y23" s="166"/>
      <c r="Z23" s="18"/>
      <c r="AE23" s="214" t="str">
        <f>References!$F$6</f>
        <v>Energy cost</v>
      </c>
      <c r="AF23" s="215"/>
      <c r="AG23" s="216">
        <v>2</v>
      </c>
      <c r="AH23" s="217"/>
      <c r="AJ23" s="126"/>
    </row>
    <row r="24" spans="1:36" ht="16.5" thickBot="1" x14ac:dyDescent="0.3">
      <c r="A24" s="13"/>
      <c r="B24" s="13"/>
      <c r="C24" s="13"/>
      <c r="D24" s="13"/>
      <c r="E24" s="154"/>
      <c r="F24" s="156"/>
      <c r="G24" s="156"/>
      <c r="H24" s="13"/>
      <c r="I24" s="13"/>
      <c r="J24" s="154"/>
      <c r="N24" s="13"/>
      <c r="O24" s="13"/>
      <c r="P24" s="13"/>
      <c r="Q24" s="13"/>
      <c r="R24" s="154"/>
      <c r="S24" s="156"/>
      <c r="T24" s="156"/>
      <c r="U24" s="13"/>
      <c r="V24" s="13"/>
      <c r="W24" s="154"/>
      <c r="X24" s="166"/>
      <c r="Y24" s="166"/>
      <c r="Z24" s="18"/>
      <c r="AA24" s="13"/>
      <c r="AB24" s="13"/>
      <c r="AC24" s="13"/>
      <c r="AD24" s="13"/>
      <c r="AE24" s="154"/>
      <c r="AF24" s="156"/>
      <c r="AG24" s="156"/>
      <c r="AH24" s="13"/>
      <c r="AI24" s="13"/>
      <c r="AJ24" s="154"/>
    </row>
    <row r="25" spans="1:36" ht="16.5" thickBot="1" x14ac:dyDescent="0.3">
      <c r="A25" s="133" t="str">
        <f>References!$G$2</f>
        <v>Type</v>
      </c>
      <c r="B25" s="135" t="str">
        <f>References!$G$3</f>
        <v>Stat</v>
      </c>
      <c r="C25" s="133" t="str">
        <f>References!$G$4</f>
        <v>Nb</v>
      </c>
      <c r="D25" s="131" t="str">
        <f>References!$G$5</f>
        <v>Turns</v>
      </c>
      <c r="E25" s="132" t="str">
        <f>References!$G$6</f>
        <v>%</v>
      </c>
      <c r="F25" s="146" t="str">
        <f>References!$G$7</f>
        <v>Nb</v>
      </c>
      <c r="G25" s="147" t="str">
        <f>References!$G$8</f>
        <v>Turns</v>
      </c>
      <c r="H25" s="133" t="str">
        <f>References!$G$9</f>
        <v>Nb</v>
      </c>
      <c r="I25" s="131" t="str">
        <f>References!$G$10</f>
        <v>Turns</v>
      </c>
      <c r="J25" s="132" t="str">
        <f>References!$G$11</f>
        <v>%</v>
      </c>
      <c r="K25" s="155"/>
      <c r="L25" s="155"/>
      <c r="N25" s="133" t="str">
        <f>References!$G$2</f>
        <v>Type</v>
      </c>
      <c r="O25" s="135" t="str">
        <f>References!$G$3</f>
        <v>Stat</v>
      </c>
      <c r="P25" s="133" t="str">
        <f>References!$G$4</f>
        <v>Nb</v>
      </c>
      <c r="Q25" s="131" t="str">
        <f>References!$G$5</f>
        <v>Turns</v>
      </c>
      <c r="R25" s="132" t="str">
        <f>References!$G$6</f>
        <v>%</v>
      </c>
      <c r="S25" s="146" t="str">
        <f>References!$G$7</f>
        <v>Nb</v>
      </c>
      <c r="T25" s="147" t="str">
        <f>References!$G$8</f>
        <v>Turns</v>
      </c>
      <c r="U25" s="133" t="str">
        <f>References!$G$9</f>
        <v>Nb</v>
      </c>
      <c r="V25" s="131" t="str">
        <f>References!$G$10</f>
        <v>Turns</v>
      </c>
      <c r="W25" s="132" t="str">
        <f>References!$G$11</f>
        <v>%</v>
      </c>
      <c r="X25" s="155"/>
      <c r="Y25" s="155"/>
      <c r="Z25" s="18"/>
      <c r="AA25" s="133" t="str">
        <f>References!$G$2</f>
        <v>Type</v>
      </c>
      <c r="AB25" s="135" t="str">
        <f>References!$G$3</f>
        <v>Stat</v>
      </c>
      <c r="AC25" s="133" t="str">
        <f>References!$G$4</f>
        <v>Nb</v>
      </c>
      <c r="AD25" s="131" t="str">
        <f>References!$G$5</f>
        <v>Turns</v>
      </c>
      <c r="AE25" s="132" t="str">
        <f>References!$G$6</f>
        <v>%</v>
      </c>
      <c r="AF25" s="146" t="str">
        <f>References!$G$7</f>
        <v>Nb</v>
      </c>
      <c r="AG25" s="147" t="str">
        <f>References!$G$8</f>
        <v>Turns</v>
      </c>
      <c r="AH25" s="133" t="str">
        <f>References!$G$9</f>
        <v>Nb</v>
      </c>
      <c r="AI25" s="131" t="str">
        <f>References!$G$10</f>
        <v>Turns</v>
      </c>
      <c r="AJ25" s="132" t="str">
        <f>References!$G$11</f>
        <v>%</v>
      </c>
    </row>
    <row r="26" spans="1:36" ht="15.75" thickBot="1" x14ac:dyDescent="0.3">
      <c r="A26" s="137"/>
      <c r="B26" s="138"/>
      <c r="C26" s="240" t="str">
        <f>References!$H$2</f>
        <v>High initiative</v>
      </c>
      <c r="D26" s="241"/>
      <c r="E26" s="242"/>
      <c r="F26" s="243" t="str">
        <f>References!$H$3</f>
        <v>Standard</v>
      </c>
      <c r="G26" s="244"/>
      <c r="H26" s="245" t="str">
        <f>References!$H$4</f>
        <v>Low initiative</v>
      </c>
      <c r="I26" s="246"/>
      <c r="J26" s="247"/>
      <c r="K26" s="160"/>
      <c r="L26" s="160"/>
      <c r="N26" s="137"/>
      <c r="O26" s="138"/>
      <c r="P26" s="240" t="str">
        <f>References!$H$2</f>
        <v>High initiative</v>
      </c>
      <c r="Q26" s="241"/>
      <c r="R26" s="242"/>
      <c r="S26" s="243" t="str">
        <f>References!$H$3</f>
        <v>Standard</v>
      </c>
      <c r="T26" s="244"/>
      <c r="U26" s="245" t="str">
        <f>References!$H$4</f>
        <v>Low initiative</v>
      </c>
      <c r="V26" s="246"/>
      <c r="W26" s="247"/>
      <c r="X26" s="158"/>
      <c r="Y26" s="158"/>
      <c r="Z26" s="18"/>
      <c r="AA26" s="137"/>
      <c r="AB26" s="138"/>
      <c r="AC26" s="240" t="str">
        <f>References!$H$2</f>
        <v>High initiative</v>
      </c>
      <c r="AD26" s="241"/>
      <c r="AE26" s="242"/>
      <c r="AF26" s="243" t="str">
        <f>References!$H$3</f>
        <v>Standard</v>
      </c>
      <c r="AG26" s="244"/>
      <c r="AH26" s="245" t="str">
        <f>References!$H$4</f>
        <v>Low initiative</v>
      </c>
      <c r="AI26" s="246"/>
      <c r="AJ26" s="247"/>
    </row>
    <row r="27" spans="1:36" ht="16.5" thickBot="1" x14ac:dyDescent="0.3">
      <c r="A27" s="127" t="str">
        <f>References!$C$2</f>
        <v>Direct</v>
      </c>
      <c r="B27" s="143" t="str">
        <f>References!$A$3</f>
        <v>hp</v>
      </c>
      <c r="C27" s="127">
        <v>2</v>
      </c>
      <c r="D27" s="145"/>
      <c r="E27" s="128">
        <v>100</v>
      </c>
      <c r="F27" s="144">
        <v>3</v>
      </c>
      <c r="G27" s="145"/>
      <c r="H27" s="127">
        <v>3</v>
      </c>
      <c r="I27" s="145"/>
      <c r="J27" s="128">
        <v>100</v>
      </c>
      <c r="K27" s="148"/>
      <c r="L27" s="148"/>
      <c r="N27" s="127" t="str">
        <f>References!$B$4</f>
        <v>Passive</v>
      </c>
      <c r="O27" s="143" t="str">
        <f>References!$A$6</f>
        <v>spd</v>
      </c>
      <c r="P27" s="170"/>
      <c r="Q27" s="145"/>
      <c r="R27" s="172"/>
      <c r="S27" s="171">
        <v>1</v>
      </c>
      <c r="T27" s="145"/>
      <c r="U27" s="170"/>
      <c r="V27" s="145"/>
      <c r="W27" s="172"/>
      <c r="X27" s="154"/>
      <c r="Y27" s="154"/>
      <c r="Z27" s="18"/>
      <c r="AA27" s="170"/>
      <c r="AB27" s="145"/>
      <c r="AC27" s="170"/>
      <c r="AD27" s="145"/>
      <c r="AE27" s="172"/>
      <c r="AF27" s="170"/>
      <c r="AG27" s="172"/>
      <c r="AH27" s="173"/>
      <c r="AI27" s="145"/>
      <c r="AJ27" s="172"/>
    </row>
    <row r="28" spans="1:36" ht="16.5" thickBot="1" x14ac:dyDescent="0.3">
      <c r="A28" s="129" t="str">
        <f>References!$C$3</f>
        <v>Temp</v>
      </c>
      <c r="B28" s="143" t="str">
        <f>References!$A$3</f>
        <v>hp</v>
      </c>
      <c r="C28" s="129">
        <v>2</v>
      </c>
      <c r="D28" s="130">
        <v>1</v>
      </c>
      <c r="E28" s="128">
        <v>100</v>
      </c>
      <c r="F28" s="141">
        <v>2</v>
      </c>
      <c r="G28" s="142">
        <v>2</v>
      </c>
      <c r="H28" s="129">
        <v>3</v>
      </c>
      <c r="I28" s="130">
        <v>2</v>
      </c>
      <c r="J28" s="140">
        <v>50</v>
      </c>
      <c r="K28" s="148"/>
      <c r="L28" s="148"/>
      <c r="N28" s="13"/>
      <c r="O28" s="13"/>
      <c r="P28" s="13"/>
      <c r="Q28" s="13"/>
      <c r="R28" s="154"/>
      <c r="S28" s="156"/>
      <c r="T28" s="156"/>
      <c r="U28" s="13"/>
      <c r="V28" s="13"/>
      <c r="W28" s="154"/>
      <c r="X28" s="154"/>
      <c r="Y28" s="154"/>
      <c r="Z28" s="18"/>
      <c r="AA28" s="13"/>
      <c r="AB28" s="13"/>
      <c r="AC28" s="13"/>
      <c r="AD28" s="13"/>
      <c r="AE28" s="154"/>
      <c r="AF28" s="156"/>
      <c r="AG28" s="156"/>
      <c r="AH28" s="13"/>
      <c r="AI28" s="13"/>
      <c r="AJ28" s="154"/>
    </row>
    <row r="29" spans="1:36" ht="15.75" x14ac:dyDescent="0.25">
      <c r="A29" s="10"/>
      <c r="B29" s="10"/>
      <c r="C29" s="10"/>
      <c r="D29" s="10"/>
      <c r="E29" s="148"/>
      <c r="F29" s="151"/>
      <c r="G29" s="151"/>
      <c r="H29" s="10"/>
      <c r="I29" s="10"/>
      <c r="J29" s="148"/>
      <c r="K29" s="148"/>
      <c r="L29" s="148"/>
      <c r="N29" s="10"/>
      <c r="O29" s="10"/>
      <c r="P29" s="10"/>
      <c r="Q29" s="10"/>
      <c r="R29" s="148"/>
      <c r="S29" s="151"/>
      <c r="T29" s="151"/>
      <c r="U29" s="10"/>
      <c r="V29" s="10"/>
      <c r="W29" s="148"/>
      <c r="X29" s="154"/>
      <c r="Y29" s="154"/>
      <c r="Z29" s="18"/>
      <c r="AA29" s="10"/>
      <c r="AB29" s="10"/>
      <c r="AC29" s="10"/>
      <c r="AD29" s="10"/>
      <c r="AE29" s="148"/>
      <c r="AF29" s="151"/>
      <c r="AG29" s="151"/>
      <c r="AH29" s="10"/>
      <c r="AI29" s="10"/>
      <c r="AJ29" s="148"/>
    </row>
    <row r="30" spans="1:36" ht="15.75" x14ac:dyDescent="0.25">
      <c r="A30" s="10"/>
      <c r="B30" s="10"/>
      <c r="C30" s="10"/>
      <c r="D30" s="10"/>
      <c r="E30" s="148"/>
      <c r="F30" s="151"/>
      <c r="G30" s="151"/>
      <c r="H30" s="10"/>
      <c r="I30" s="10"/>
      <c r="J30" s="148"/>
      <c r="K30" s="148"/>
      <c r="L30" s="148"/>
      <c r="N30" s="10"/>
      <c r="O30" s="10"/>
      <c r="P30" s="10"/>
      <c r="Q30" s="10"/>
      <c r="R30" s="148"/>
      <c r="S30" s="151"/>
      <c r="T30" s="151"/>
      <c r="U30" s="10"/>
      <c r="V30" s="10"/>
      <c r="W30" s="148"/>
      <c r="X30" s="154"/>
      <c r="Y30" s="154"/>
      <c r="Z30" s="18"/>
      <c r="AA30" s="10"/>
      <c r="AB30" s="10"/>
      <c r="AC30" s="10"/>
      <c r="AD30" s="10"/>
      <c r="AE30" s="148"/>
      <c r="AF30" s="151"/>
      <c r="AG30" s="151"/>
      <c r="AH30" s="10"/>
      <c r="AI30" s="10"/>
      <c r="AJ30" s="148"/>
    </row>
    <row r="31" spans="1:36" ht="15.75" x14ac:dyDescent="0.25">
      <c r="A31" s="10"/>
      <c r="B31" s="10"/>
      <c r="C31" s="10"/>
      <c r="D31" s="10"/>
      <c r="E31" s="148"/>
      <c r="F31" s="151"/>
      <c r="G31" s="151"/>
      <c r="H31" s="10"/>
      <c r="I31" s="10"/>
      <c r="J31" s="148"/>
      <c r="K31" s="148"/>
      <c r="L31" s="148"/>
      <c r="N31" s="10"/>
      <c r="O31" s="10"/>
      <c r="P31" s="10"/>
      <c r="Q31" s="10"/>
      <c r="R31" s="148"/>
      <c r="S31" s="151"/>
      <c r="T31" s="151"/>
      <c r="U31" s="10"/>
      <c r="V31" s="10"/>
      <c r="W31" s="148"/>
      <c r="X31" s="154"/>
      <c r="Y31" s="154"/>
      <c r="Z31" s="18"/>
      <c r="AA31" s="10"/>
      <c r="AB31" s="10"/>
      <c r="AC31" s="10"/>
      <c r="AD31" s="10"/>
      <c r="AE31" s="148"/>
      <c r="AF31" s="151"/>
      <c r="AG31" s="151"/>
      <c r="AH31" s="10"/>
      <c r="AI31" s="10"/>
      <c r="AJ31" s="148"/>
    </row>
    <row r="32" spans="1:36" ht="15.75" x14ac:dyDescent="0.25">
      <c r="A32" s="10"/>
      <c r="B32" s="10"/>
      <c r="C32" s="10"/>
      <c r="D32" s="10"/>
      <c r="E32" s="148"/>
      <c r="F32" s="151"/>
      <c r="G32" s="151"/>
      <c r="H32" s="10"/>
      <c r="I32" s="10"/>
      <c r="J32" s="148"/>
      <c r="K32" s="148"/>
      <c r="L32" s="148"/>
      <c r="N32" s="10"/>
      <c r="O32" s="10"/>
      <c r="P32" s="10"/>
      <c r="Q32" s="10"/>
      <c r="R32" s="148"/>
      <c r="S32" s="151"/>
      <c r="T32" s="151"/>
      <c r="U32" s="10"/>
      <c r="V32" s="10"/>
      <c r="W32" s="148"/>
      <c r="X32" s="154"/>
      <c r="Y32" s="154"/>
      <c r="Z32" s="18"/>
      <c r="AA32" s="10"/>
      <c r="AB32" s="10"/>
      <c r="AC32" s="10"/>
      <c r="AD32" s="10"/>
      <c r="AE32" s="148"/>
      <c r="AF32" s="151"/>
      <c r="AG32" s="151"/>
      <c r="AH32" s="10"/>
      <c r="AI32" s="10"/>
      <c r="AJ32" s="148"/>
    </row>
    <row r="33" spans="1:36" ht="6" customHeight="1" x14ac:dyDescent="0.25">
      <c r="A33" s="161"/>
      <c r="B33" s="161"/>
      <c r="C33" s="161"/>
      <c r="D33" s="161"/>
      <c r="E33" s="162"/>
      <c r="F33" s="150"/>
      <c r="G33" s="150"/>
      <c r="H33" s="161"/>
      <c r="I33" s="161"/>
      <c r="J33" s="162"/>
      <c r="K33" s="162"/>
      <c r="L33" s="162"/>
      <c r="M33" s="163"/>
      <c r="N33" s="161"/>
      <c r="O33" s="161"/>
      <c r="P33" s="161"/>
      <c r="Q33" s="161"/>
      <c r="R33" s="162"/>
      <c r="S33" s="150"/>
      <c r="T33" s="150"/>
      <c r="U33" s="161"/>
      <c r="V33" s="161"/>
      <c r="W33" s="162"/>
      <c r="X33" s="162"/>
      <c r="Y33" s="162"/>
      <c r="Z33" s="163"/>
      <c r="AA33" s="161"/>
      <c r="AB33" s="161"/>
      <c r="AC33" s="161"/>
      <c r="AD33" s="161"/>
      <c r="AE33" s="162"/>
      <c r="AF33" s="150"/>
      <c r="AG33" s="150"/>
      <c r="AH33" s="161"/>
      <c r="AI33" s="161"/>
      <c r="AJ33" s="162"/>
    </row>
    <row r="34" spans="1:36" ht="15.75" thickBot="1" x14ac:dyDescent="0.3">
      <c r="L34" s="167"/>
      <c r="X34" s="18"/>
      <c r="Y34" s="163"/>
      <c r="Z34" s="18"/>
    </row>
    <row r="35" spans="1:36" ht="15.75" x14ac:dyDescent="0.25">
      <c r="E35" s="224" t="str">
        <f>References!$F$2</f>
        <v>Name</v>
      </c>
      <c r="F35" s="225"/>
      <c r="G35" s="222" t="s">
        <v>33</v>
      </c>
      <c r="H35" s="223"/>
      <c r="L35" s="167"/>
      <c r="R35" s="224" t="str">
        <f>References!$F$2</f>
        <v>Name</v>
      </c>
      <c r="S35" s="225"/>
      <c r="T35" s="222" t="s">
        <v>97</v>
      </c>
      <c r="U35" s="223"/>
      <c r="W35" s="126"/>
      <c r="X35" s="166"/>
      <c r="Y35" s="167"/>
      <c r="Z35" s="18"/>
      <c r="AE35" s="224" t="str">
        <f>References!$F$2</f>
        <v>Name</v>
      </c>
      <c r="AF35" s="225"/>
      <c r="AG35" s="222" t="s">
        <v>24</v>
      </c>
      <c r="AH35" s="223"/>
      <c r="AJ35" s="126"/>
    </row>
    <row r="36" spans="1:36" ht="15.75" x14ac:dyDescent="0.25">
      <c r="E36" s="212" t="str">
        <f>References!$F$3</f>
        <v>Class</v>
      </c>
      <c r="F36" s="213"/>
      <c r="G36" s="218" t="e">
        <f>References!#REF!</f>
        <v>#REF!</v>
      </c>
      <c r="H36" s="219"/>
      <c r="L36" s="167"/>
      <c r="R36" s="212" t="str">
        <f>References!$F$3</f>
        <v>Class</v>
      </c>
      <c r="S36" s="213"/>
      <c r="T36" s="218" t="str">
        <f>References!$E$7</f>
        <v>Assassin</v>
      </c>
      <c r="U36" s="219"/>
      <c r="W36" s="126"/>
      <c r="X36" s="166"/>
      <c r="Y36" s="167"/>
      <c r="Z36" s="18"/>
      <c r="AE36" s="212" t="str">
        <f>References!$F$3</f>
        <v>Class</v>
      </c>
      <c r="AF36" s="213"/>
      <c r="AG36" s="218" t="str">
        <f>References!$E$8</f>
        <v>Necromancer</v>
      </c>
      <c r="AH36" s="219"/>
      <c r="AJ36" s="126"/>
    </row>
    <row r="37" spans="1:36" ht="15.75" x14ac:dyDescent="0.25">
      <c r="E37" s="212" t="str">
        <f>References!$F$4</f>
        <v>Type</v>
      </c>
      <c r="F37" s="213"/>
      <c r="G37" s="218" t="str">
        <f>References!$B$3</f>
        <v>Defensive</v>
      </c>
      <c r="H37" s="219"/>
      <c r="L37" s="167"/>
      <c r="R37" s="212" t="str">
        <f>References!$F$4</f>
        <v>Type</v>
      </c>
      <c r="S37" s="213"/>
      <c r="T37" s="218" t="str">
        <f>References!$B$2</f>
        <v>Offensive</v>
      </c>
      <c r="U37" s="219"/>
      <c r="W37" s="126"/>
      <c r="X37" s="166"/>
      <c r="Y37" s="167"/>
      <c r="Z37" s="18"/>
      <c r="AE37" s="212" t="str">
        <f>References!$F$4</f>
        <v>Type</v>
      </c>
      <c r="AF37" s="213"/>
      <c r="AG37" s="218" t="str">
        <f>References!$B$3</f>
        <v>Defensive</v>
      </c>
      <c r="AH37" s="219"/>
      <c r="AJ37" s="126"/>
    </row>
    <row r="38" spans="1:36" ht="15.75" x14ac:dyDescent="0.25">
      <c r="E38" s="212" t="str">
        <f>References!$F$5</f>
        <v>Nb. Targets</v>
      </c>
      <c r="F38" s="213"/>
      <c r="G38" s="218">
        <v>1</v>
      </c>
      <c r="H38" s="219"/>
      <c r="L38" s="167"/>
      <c r="R38" s="212" t="str">
        <f>References!$F$5</f>
        <v>Nb. Targets</v>
      </c>
      <c r="S38" s="213"/>
      <c r="T38" s="218">
        <v>1</v>
      </c>
      <c r="U38" s="219"/>
      <c r="W38" s="126"/>
      <c r="X38" s="166"/>
      <c r="Y38" s="167"/>
      <c r="Z38" s="18"/>
      <c r="AE38" s="212" t="str">
        <f>References!$F$5</f>
        <v>Nb. Targets</v>
      </c>
      <c r="AF38" s="213"/>
      <c r="AG38" s="218">
        <v>3</v>
      </c>
      <c r="AH38" s="219"/>
      <c r="AJ38" s="126"/>
    </row>
    <row r="39" spans="1:36" ht="16.5" thickBot="1" x14ac:dyDescent="0.3">
      <c r="E39" s="214" t="str">
        <f>References!$F$6</f>
        <v>Energy cost</v>
      </c>
      <c r="F39" s="215"/>
      <c r="G39" s="216">
        <v>3</v>
      </c>
      <c r="H39" s="217"/>
      <c r="L39" s="167"/>
      <c r="R39" s="214" t="str">
        <f>References!$F$6</f>
        <v>Energy cost</v>
      </c>
      <c r="S39" s="215"/>
      <c r="T39" s="216">
        <v>3</v>
      </c>
      <c r="U39" s="217"/>
      <c r="W39" s="126"/>
      <c r="X39" s="166"/>
      <c r="Y39" s="167"/>
      <c r="Z39" s="18"/>
      <c r="AE39" s="214" t="str">
        <f>References!$F$6</f>
        <v>Energy cost</v>
      </c>
      <c r="AF39" s="215"/>
      <c r="AG39" s="216">
        <v>2</v>
      </c>
      <c r="AH39" s="217"/>
      <c r="AJ39" s="126"/>
    </row>
    <row r="40" spans="1:36" ht="16.5" thickBot="1" x14ac:dyDescent="0.3">
      <c r="A40" s="13"/>
      <c r="B40" s="13"/>
      <c r="C40" s="13"/>
      <c r="D40" s="13"/>
      <c r="E40" s="154"/>
      <c r="F40" s="156"/>
      <c r="G40" s="156"/>
      <c r="H40" s="13"/>
      <c r="I40" s="13"/>
      <c r="J40" s="154"/>
      <c r="L40" s="167"/>
      <c r="N40" s="13"/>
      <c r="O40" s="13"/>
      <c r="P40" s="13"/>
      <c r="Q40" s="13"/>
      <c r="R40" s="154"/>
      <c r="S40" s="156"/>
      <c r="T40" s="156"/>
      <c r="U40" s="13"/>
      <c r="V40" s="13"/>
      <c r="W40" s="154"/>
      <c r="X40" s="166"/>
      <c r="Y40" s="167"/>
      <c r="Z40" s="18"/>
      <c r="AA40" s="13"/>
      <c r="AB40" s="13"/>
      <c r="AC40" s="13"/>
      <c r="AD40" s="13"/>
      <c r="AE40" s="154"/>
      <c r="AF40" s="156"/>
      <c r="AG40" s="156"/>
      <c r="AH40" s="13"/>
      <c r="AI40" s="13"/>
      <c r="AJ40" s="154"/>
    </row>
    <row r="41" spans="1:36" ht="16.5" thickBot="1" x14ac:dyDescent="0.3">
      <c r="A41" s="133" t="str">
        <f>References!$G$2</f>
        <v>Type</v>
      </c>
      <c r="B41" s="135" t="str">
        <f>References!$G$3</f>
        <v>Stat</v>
      </c>
      <c r="C41" s="133" t="str">
        <f>References!$G$4</f>
        <v>Nb</v>
      </c>
      <c r="D41" s="131" t="str">
        <f>References!$G$5</f>
        <v>Turns</v>
      </c>
      <c r="E41" s="132" t="str">
        <f>References!$G$6</f>
        <v>%</v>
      </c>
      <c r="F41" s="146" t="str">
        <f>References!$G$7</f>
        <v>Nb</v>
      </c>
      <c r="G41" s="147" t="str">
        <f>References!$G$8</f>
        <v>Turns</v>
      </c>
      <c r="H41" s="133" t="str">
        <f>References!$G$9</f>
        <v>Nb</v>
      </c>
      <c r="I41" s="131" t="str">
        <f>References!$G$10</f>
        <v>Turns</v>
      </c>
      <c r="J41" s="132" t="str">
        <f>References!$G$11</f>
        <v>%</v>
      </c>
      <c r="K41" s="155"/>
      <c r="L41" s="149"/>
      <c r="N41" s="133" t="str">
        <f>References!$G$2</f>
        <v>Type</v>
      </c>
      <c r="O41" s="135" t="str">
        <f>References!$G$3</f>
        <v>Stat</v>
      </c>
      <c r="P41" s="133" t="str">
        <f>References!$G$4</f>
        <v>Nb</v>
      </c>
      <c r="Q41" s="131" t="str">
        <f>References!$G$5</f>
        <v>Turns</v>
      </c>
      <c r="R41" s="132" t="str">
        <f>References!$G$6</f>
        <v>%</v>
      </c>
      <c r="S41" s="146" t="str">
        <f>References!$G$7</f>
        <v>Nb</v>
      </c>
      <c r="T41" s="147" t="str">
        <f>References!$G$8</f>
        <v>Turns</v>
      </c>
      <c r="U41" s="133" t="str">
        <f>References!$G$9</f>
        <v>Nb</v>
      </c>
      <c r="V41" s="131" t="str">
        <f>References!$G$10</f>
        <v>Turns</v>
      </c>
      <c r="W41" s="132" t="str">
        <f>References!$G$11</f>
        <v>%</v>
      </c>
      <c r="X41" s="155"/>
      <c r="Y41" s="149"/>
      <c r="Z41" s="18"/>
      <c r="AA41" s="133" t="str">
        <f>References!$G$2</f>
        <v>Type</v>
      </c>
      <c r="AB41" s="135" t="str">
        <f>References!$G$3</f>
        <v>Stat</v>
      </c>
      <c r="AC41" s="133" t="str">
        <f>References!$G$4</f>
        <v>Nb</v>
      </c>
      <c r="AD41" s="131" t="str">
        <f>References!$G$5</f>
        <v>Turns</v>
      </c>
      <c r="AE41" s="132" t="str">
        <f>References!$G$6</f>
        <v>%</v>
      </c>
      <c r="AF41" s="146" t="str">
        <f>References!$G$7</f>
        <v>Nb</v>
      </c>
      <c r="AG41" s="147" t="str">
        <f>References!$G$8</f>
        <v>Turns</v>
      </c>
      <c r="AH41" s="133" t="str">
        <f>References!$G$9</f>
        <v>Nb</v>
      </c>
      <c r="AI41" s="131" t="str">
        <f>References!$G$10</f>
        <v>Turns</v>
      </c>
      <c r="AJ41" s="132" t="str">
        <f>References!$G$11</f>
        <v>%</v>
      </c>
    </row>
    <row r="42" spans="1:36" ht="15.75" thickBot="1" x14ac:dyDescent="0.3">
      <c r="A42" s="137"/>
      <c r="B42" s="138"/>
      <c r="C42" s="240" t="str">
        <f>References!$H$2</f>
        <v>High initiative</v>
      </c>
      <c r="D42" s="241"/>
      <c r="E42" s="242"/>
      <c r="F42" s="243" t="str">
        <f>References!$H$3</f>
        <v>Standard</v>
      </c>
      <c r="G42" s="244"/>
      <c r="H42" s="245" t="str">
        <f>References!$H$4</f>
        <v>Low initiative</v>
      </c>
      <c r="I42" s="246"/>
      <c r="J42" s="247"/>
      <c r="K42" s="160"/>
      <c r="L42" s="168"/>
      <c r="N42" s="137"/>
      <c r="O42" s="138"/>
      <c r="P42" s="240" t="str">
        <f>References!$H$2</f>
        <v>High initiative</v>
      </c>
      <c r="Q42" s="241"/>
      <c r="R42" s="242"/>
      <c r="S42" s="243" t="str">
        <f>References!$H$3</f>
        <v>Standard</v>
      </c>
      <c r="T42" s="244"/>
      <c r="U42" s="245" t="str">
        <f>References!$H$4</f>
        <v>Low initiative</v>
      </c>
      <c r="V42" s="246"/>
      <c r="W42" s="247"/>
      <c r="X42" s="158"/>
      <c r="Y42" s="168"/>
      <c r="Z42" s="18"/>
      <c r="AA42" s="137"/>
      <c r="AB42" s="138"/>
      <c r="AC42" s="240" t="str">
        <f>References!$H$2</f>
        <v>High initiative</v>
      </c>
      <c r="AD42" s="241"/>
      <c r="AE42" s="242"/>
      <c r="AF42" s="243" t="str">
        <f>References!$H$3</f>
        <v>Standard</v>
      </c>
      <c r="AG42" s="244"/>
      <c r="AH42" s="245" t="str">
        <f>References!$H$4</f>
        <v>Low initiative</v>
      </c>
      <c r="AI42" s="246"/>
      <c r="AJ42" s="247"/>
    </row>
    <row r="43" spans="1:36" ht="16.5" thickBot="1" x14ac:dyDescent="0.3">
      <c r="A43" s="127" t="str">
        <f>References!$C$2</f>
        <v>Direct</v>
      </c>
      <c r="B43" s="143" t="str">
        <f>References!$A$7</f>
        <v>rtl</v>
      </c>
      <c r="C43" s="127">
        <v>2</v>
      </c>
      <c r="D43" s="145"/>
      <c r="E43" s="128">
        <v>100</v>
      </c>
      <c r="F43" s="144">
        <v>3</v>
      </c>
      <c r="G43" s="145"/>
      <c r="H43" s="127">
        <v>3</v>
      </c>
      <c r="I43" s="145"/>
      <c r="J43" s="128">
        <v>100</v>
      </c>
      <c r="K43" s="148"/>
      <c r="L43" s="162"/>
      <c r="N43" s="127" t="str">
        <f>References!$C$2</f>
        <v>Direct</v>
      </c>
      <c r="O43" s="143" t="str">
        <f>References!$A$2</f>
        <v>dmg</v>
      </c>
      <c r="P43" s="127">
        <v>3</v>
      </c>
      <c r="Q43" s="145"/>
      <c r="R43" s="128">
        <v>100</v>
      </c>
      <c r="S43" s="144">
        <v>3</v>
      </c>
      <c r="T43" s="145"/>
      <c r="U43" s="127">
        <v>4</v>
      </c>
      <c r="V43" s="145"/>
      <c r="W43" s="128">
        <v>50</v>
      </c>
      <c r="X43" s="154"/>
      <c r="Y43" s="162"/>
      <c r="Z43" s="18"/>
      <c r="AA43" s="129" t="str">
        <f>References!$C$2</f>
        <v>Direct</v>
      </c>
      <c r="AB43" s="139" t="str">
        <f>References!$A$5</f>
        <v>def</v>
      </c>
      <c r="AC43" s="127">
        <v>1</v>
      </c>
      <c r="AD43" s="145"/>
      <c r="AE43" s="128">
        <v>50</v>
      </c>
      <c r="AF43" s="144">
        <v>2</v>
      </c>
      <c r="AG43" s="145"/>
      <c r="AH43" s="129">
        <v>3</v>
      </c>
      <c r="AI43" s="175"/>
      <c r="AJ43" s="140">
        <f>(1/3)*100</f>
        <v>33.333333333333329</v>
      </c>
    </row>
    <row r="44" spans="1:36" ht="16.5" thickBot="1" x14ac:dyDescent="0.3">
      <c r="A44" s="129" t="str">
        <f>References!$C$3</f>
        <v>Temp</v>
      </c>
      <c r="B44" s="143" t="str">
        <f>References!$A$7</f>
        <v>rtl</v>
      </c>
      <c r="C44" s="129">
        <v>2</v>
      </c>
      <c r="D44" s="130">
        <v>2</v>
      </c>
      <c r="E44" s="128">
        <v>100</v>
      </c>
      <c r="F44" s="141">
        <v>3</v>
      </c>
      <c r="G44" s="142">
        <v>2</v>
      </c>
      <c r="H44" s="129">
        <v>3</v>
      </c>
      <c r="I44" s="130">
        <v>2</v>
      </c>
      <c r="J44" s="128">
        <v>100</v>
      </c>
      <c r="K44" s="148"/>
      <c r="L44" s="162"/>
      <c r="N44" s="129" t="str">
        <f>References!$C$3</f>
        <v>Temp</v>
      </c>
      <c r="O44" s="143" t="str">
        <f>References!$A$2</f>
        <v>dmg</v>
      </c>
      <c r="P44" s="129">
        <v>2</v>
      </c>
      <c r="Q44" s="130">
        <v>1</v>
      </c>
      <c r="R44" s="128">
        <v>100</v>
      </c>
      <c r="S44" s="141">
        <v>2</v>
      </c>
      <c r="T44" s="142">
        <v>2</v>
      </c>
      <c r="U44" s="129">
        <v>2</v>
      </c>
      <c r="V44" s="130">
        <v>3</v>
      </c>
      <c r="W44" s="128">
        <v>50</v>
      </c>
      <c r="X44" s="154"/>
      <c r="Y44" s="162"/>
      <c r="Z44" s="18"/>
      <c r="AA44" s="129" t="str">
        <f>References!$C$3</f>
        <v>Temp</v>
      </c>
      <c r="AB44" s="139" t="str">
        <f>References!$A$5</f>
        <v>def</v>
      </c>
      <c r="AC44" s="129">
        <v>2</v>
      </c>
      <c r="AD44" s="130">
        <v>1</v>
      </c>
      <c r="AE44" s="128">
        <v>100</v>
      </c>
      <c r="AF44" s="141">
        <v>2</v>
      </c>
      <c r="AG44" s="142">
        <v>1</v>
      </c>
      <c r="AH44" s="129">
        <v>2</v>
      </c>
      <c r="AI44" s="130">
        <v>1</v>
      </c>
      <c r="AJ44" s="140">
        <v>100</v>
      </c>
    </row>
    <row r="45" spans="1:36" x14ac:dyDescent="0.25">
      <c r="K45" s="166"/>
      <c r="L45" s="167"/>
      <c r="M45" s="18"/>
      <c r="X45" s="18"/>
      <c r="Y45" s="163"/>
      <c r="Z45" s="18"/>
    </row>
    <row r="46" spans="1:36" x14ac:dyDescent="0.25">
      <c r="K46" s="166"/>
      <c r="L46" s="167"/>
      <c r="M46" s="18"/>
      <c r="X46" s="18"/>
      <c r="Y46" s="163"/>
      <c r="Z46" s="18"/>
    </row>
    <row r="47" spans="1:36" x14ac:dyDescent="0.25">
      <c r="K47" s="166"/>
      <c r="L47" s="167"/>
      <c r="M47" s="18"/>
      <c r="X47" s="18"/>
      <c r="Y47" s="163"/>
      <c r="Z47" s="18"/>
    </row>
    <row r="48" spans="1:36" ht="15.75" thickBot="1" x14ac:dyDescent="0.3">
      <c r="K48" s="166"/>
      <c r="L48" s="167"/>
      <c r="M48" s="18"/>
      <c r="X48" s="18"/>
      <c r="Y48" s="163"/>
      <c r="Z48" s="18"/>
    </row>
    <row r="49" spans="1:36" ht="15.75" x14ac:dyDescent="0.25">
      <c r="E49" s="224" t="str">
        <f>References!$F$2</f>
        <v>Name</v>
      </c>
      <c r="F49" s="225"/>
      <c r="G49" s="222" t="s">
        <v>96</v>
      </c>
      <c r="H49" s="223"/>
      <c r="K49" s="166"/>
      <c r="L49" s="167"/>
      <c r="M49" s="18"/>
      <c r="R49" s="224" t="str">
        <f>References!$F$2</f>
        <v>Name</v>
      </c>
      <c r="S49" s="225"/>
      <c r="T49" s="222" t="s">
        <v>98</v>
      </c>
      <c r="U49" s="223"/>
      <c r="W49" s="126"/>
      <c r="X49" s="166"/>
      <c r="Y49" s="167"/>
      <c r="Z49" s="18"/>
      <c r="AE49" s="224" t="str">
        <f>References!$F$2</f>
        <v>Name</v>
      </c>
      <c r="AF49" s="225"/>
      <c r="AG49" s="222" t="s">
        <v>25</v>
      </c>
      <c r="AH49" s="223"/>
      <c r="AJ49" s="126"/>
    </row>
    <row r="50" spans="1:36" ht="15.75" x14ac:dyDescent="0.25">
      <c r="E50" s="212" t="str">
        <f>References!$F$3</f>
        <v>Class</v>
      </c>
      <c r="F50" s="213"/>
      <c r="G50" s="218" t="e">
        <f>References!#REF!</f>
        <v>#REF!</v>
      </c>
      <c r="H50" s="219"/>
      <c r="K50" s="166"/>
      <c r="L50" s="167"/>
      <c r="M50" s="18"/>
      <c r="R50" s="212" t="str">
        <f>References!$F$3</f>
        <v>Class</v>
      </c>
      <c r="S50" s="213"/>
      <c r="T50" s="218" t="str">
        <f>References!$E$7</f>
        <v>Assassin</v>
      </c>
      <c r="U50" s="219"/>
      <c r="W50" s="126"/>
      <c r="X50" s="166"/>
      <c r="Y50" s="167"/>
      <c r="Z50" s="18"/>
      <c r="AE50" s="212" t="str">
        <f>References!$F$3</f>
        <v>Class</v>
      </c>
      <c r="AF50" s="213"/>
      <c r="AG50" s="218" t="str">
        <f>References!$E$8</f>
        <v>Necromancer</v>
      </c>
      <c r="AH50" s="219"/>
      <c r="AJ50" s="126"/>
    </row>
    <row r="51" spans="1:36" ht="15.75" x14ac:dyDescent="0.25">
      <c r="E51" s="212" t="str">
        <f>References!$F$4</f>
        <v>Type</v>
      </c>
      <c r="F51" s="213"/>
      <c r="G51" s="218" t="str">
        <f>References!$B$2</f>
        <v>Offensive</v>
      </c>
      <c r="H51" s="219"/>
      <c r="K51" s="166"/>
      <c r="L51" s="167"/>
      <c r="M51" s="18"/>
      <c r="R51" s="212" t="str">
        <f>References!$F$4</f>
        <v>Type</v>
      </c>
      <c r="S51" s="213"/>
      <c r="T51" s="218" t="str">
        <f>References!$B$3</f>
        <v>Defensive</v>
      </c>
      <c r="U51" s="219"/>
      <c r="W51" s="126"/>
      <c r="X51" s="126"/>
      <c r="Y51" s="167"/>
      <c r="AE51" s="212" t="str">
        <f>References!$F$4</f>
        <v>Type</v>
      </c>
      <c r="AF51" s="213"/>
      <c r="AG51" s="218" t="str">
        <f>References!$B$2</f>
        <v>Offensive</v>
      </c>
      <c r="AH51" s="219"/>
      <c r="AJ51" s="126"/>
    </row>
    <row r="52" spans="1:36" ht="15.75" x14ac:dyDescent="0.25">
      <c r="E52" s="212" t="str">
        <f>References!$F$5</f>
        <v>Nb. Targets</v>
      </c>
      <c r="F52" s="213"/>
      <c r="G52" s="218">
        <v>1</v>
      </c>
      <c r="H52" s="219"/>
      <c r="K52" s="166"/>
      <c r="L52" s="167"/>
      <c r="M52" s="18"/>
      <c r="R52" s="212" t="str">
        <f>References!$F$5</f>
        <v>Nb. Targets</v>
      </c>
      <c r="S52" s="213"/>
      <c r="T52" s="218">
        <v>1</v>
      </c>
      <c r="U52" s="219"/>
      <c r="W52" s="126"/>
      <c r="X52" s="126"/>
      <c r="Y52" s="167"/>
      <c r="AE52" s="212" t="str">
        <f>References!$F$5</f>
        <v>Nb. Targets</v>
      </c>
      <c r="AF52" s="213"/>
      <c r="AG52" s="218">
        <v>3</v>
      </c>
      <c r="AH52" s="219"/>
      <c r="AJ52" s="126"/>
    </row>
    <row r="53" spans="1:36" ht="16.5" thickBot="1" x14ac:dyDescent="0.3">
      <c r="E53" s="214" t="str">
        <f>References!$F$6</f>
        <v>Energy cost</v>
      </c>
      <c r="F53" s="215"/>
      <c r="G53" s="216">
        <v>4</v>
      </c>
      <c r="H53" s="217"/>
      <c r="K53" s="166"/>
      <c r="L53" s="167"/>
      <c r="M53" s="18"/>
      <c r="R53" s="214" t="str">
        <f>References!$F$6</f>
        <v>Energy cost</v>
      </c>
      <c r="S53" s="215"/>
      <c r="T53" s="216">
        <v>1</v>
      </c>
      <c r="U53" s="217"/>
      <c r="W53" s="126"/>
      <c r="X53" s="166"/>
      <c r="Y53" s="167"/>
      <c r="Z53" s="18"/>
      <c r="AE53" s="214" t="str">
        <f>References!$F$6</f>
        <v>Energy cost</v>
      </c>
      <c r="AF53" s="215"/>
      <c r="AG53" s="216">
        <v>3</v>
      </c>
      <c r="AH53" s="217"/>
      <c r="AJ53" s="126"/>
    </row>
    <row r="54" spans="1:36" ht="16.5" thickBot="1" x14ac:dyDescent="0.3">
      <c r="A54" s="13"/>
      <c r="B54" s="13"/>
      <c r="C54" s="13"/>
      <c r="D54" s="13"/>
      <c r="E54" s="154"/>
      <c r="F54" s="156"/>
      <c r="G54" s="156"/>
      <c r="H54" s="13"/>
      <c r="I54" s="13"/>
      <c r="J54" s="154"/>
      <c r="K54" s="166"/>
      <c r="L54" s="167"/>
      <c r="M54" s="18"/>
      <c r="N54" s="13"/>
      <c r="O54" s="13"/>
      <c r="P54" s="13"/>
      <c r="Q54" s="13"/>
      <c r="R54" s="154"/>
      <c r="S54" s="156"/>
      <c r="T54" s="156"/>
      <c r="U54" s="13"/>
      <c r="V54" s="13"/>
      <c r="W54" s="154"/>
      <c r="X54" s="166"/>
      <c r="Y54" s="167"/>
      <c r="Z54" s="18"/>
      <c r="AA54" s="13"/>
      <c r="AB54" s="13"/>
      <c r="AC54" s="13"/>
      <c r="AD54" s="13"/>
      <c r="AE54" s="154"/>
      <c r="AF54" s="156"/>
      <c r="AG54" s="156"/>
      <c r="AH54" s="13"/>
      <c r="AI54" s="13"/>
      <c r="AJ54" s="154"/>
    </row>
    <row r="55" spans="1:36" ht="16.5" thickBot="1" x14ac:dyDescent="0.3">
      <c r="A55" s="133" t="str">
        <f>References!$G$2</f>
        <v>Type</v>
      </c>
      <c r="B55" s="135" t="str">
        <f>References!$G$3</f>
        <v>Stat</v>
      </c>
      <c r="C55" s="133" t="str">
        <f>References!$G$4</f>
        <v>Nb</v>
      </c>
      <c r="D55" s="131" t="str">
        <f>References!$G$5</f>
        <v>Turns</v>
      </c>
      <c r="E55" s="132" t="str">
        <f>References!$G$6</f>
        <v>%</v>
      </c>
      <c r="F55" s="146" t="str">
        <f>References!$G$7</f>
        <v>Nb</v>
      </c>
      <c r="G55" s="147" t="str">
        <f>References!$G$8</f>
        <v>Turns</v>
      </c>
      <c r="H55" s="133" t="str">
        <f>References!$G$9</f>
        <v>Nb</v>
      </c>
      <c r="I55" s="131" t="str">
        <f>References!$G$10</f>
        <v>Turns</v>
      </c>
      <c r="J55" s="132" t="str">
        <f>References!$G$11</f>
        <v>%</v>
      </c>
      <c r="K55" s="155"/>
      <c r="L55" s="149"/>
      <c r="M55" s="18"/>
      <c r="N55" s="133" t="str">
        <f>References!$G$2</f>
        <v>Type</v>
      </c>
      <c r="O55" s="135" t="str">
        <f>References!$G$3</f>
        <v>Stat</v>
      </c>
      <c r="P55" s="133" t="str">
        <f>References!$G$4</f>
        <v>Nb</v>
      </c>
      <c r="Q55" s="131" t="str">
        <f>References!$G$5</f>
        <v>Turns</v>
      </c>
      <c r="R55" s="132" t="str">
        <f>References!$G$6</f>
        <v>%</v>
      </c>
      <c r="S55" s="146" t="str">
        <f>References!$G$7</f>
        <v>Nb</v>
      </c>
      <c r="T55" s="147" t="str">
        <f>References!$G$8</f>
        <v>Turns</v>
      </c>
      <c r="U55" s="133" t="str">
        <f>References!$G$9</f>
        <v>Nb</v>
      </c>
      <c r="V55" s="131" t="str">
        <f>References!$G$10</f>
        <v>Turns</v>
      </c>
      <c r="W55" s="132" t="str">
        <f>References!$G$11</f>
        <v>%</v>
      </c>
      <c r="X55" s="155"/>
      <c r="Y55" s="149"/>
      <c r="Z55" s="18"/>
      <c r="AA55" s="133" t="str">
        <f>References!$G$2</f>
        <v>Type</v>
      </c>
      <c r="AB55" s="135" t="str">
        <f>References!$G$3</f>
        <v>Stat</v>
      </c>
      <c r="AC55" s="133" t="str">
        <f>References!$G$4</f>
        <v>Nb</v>
      </c>
      <c r="AD55" s="131" t="str">
        <f>References!$G$5</f>
        <v>Turns</v>
      </c>
      <c r="AE55" s="132" t="str">
        <f>References!$G$6</f>
        <v>%</v>
      </c>
      <c r="AF55" s="146" t="str">
        <f>References!$G$7</f>
        <v>Nb</v>
      </c>
      <c r="AG55" s="147" t="str">
        <f>References!$G$8</f>
        <v>Turns</v>
      </c>
      <c r="AH55" s="133" t="str">
        <f>References!$G$9</f>
        <v>Nb</v>
      </c>
      <c r="AI55" s="131" t="str">
        <f>References!$G$10</f>
        <v>Turns</v>
      </c>
      <c r="AJ55" s="132" t="str">
        <f>References!$G$11</f>
        <v>%</v>
      </c>
    </row>
    <row r="56" spans="1:36" ht="15.75" thickBot="1" x14ac:dyDescent="0.3">
      <c r="A56" s="137"/>
      <c r="B56" s="138"/>
      <c r="C56" s="240" t="str">
        <f>References!$H$2</f>
        <v>High initiative</v>
      </c>
      <c r="D56" s="241"/>
      <c r="E56" s="242"/>
      <c r="F56" s="243" t="str">
        <f>References!$H$3</f>
        <v>Standard</v>
      </c>
      <c r="G56" s="244"/>
      <c r="H56" s="245" t="str">
        <f>References!$H$4</f>
        <v>Low initiative</v>
      </c>
      <c r="I56" s="246"/>
      <c r="J56" s="247"/>
      <c r="K56" s="158"/>
      <c r="L56" s="168"/>
      <c r="M56" s="18"/>
      <c r="N56" s="137"/>
      <c r="O56" s="138"/>
      <c r="P56" s="240" t="str">
        <f>References!$H$2</f>
        <v>High initiative</v>
      </c>
      <c r="Q56" s="241"/>
      <c r="R56" s="242"/>
      <c r="S56" s="243" t="str">
        <f>References!$H$3</f>
        <v>Standard</v>
      </c>
      <c r="T56" s="244"/>
      <c r="U56" s="245" t="str">
        <f>References!$H$4</f>
        <v>Low initiative</v>
      </c>
      <c r="V56" s="246"/>
      <c r="W56" s="247"/>
      <c r="X56" s="158"/>
      <c r="Y56" s="168"/>
      <c r="Z56" s="18"/>
      <c r="AA56" s="134"/>
      <c r="AB56" s="174"/>
      <c r="AC56" s="240" t="str">
        <f>References!$H$2</f>
        <v>High initiative</v>
      </c>
      <c r="AD56" s="241"/>
      <c r="AE56" s="242"/>
      <c r="AF56" s="243" t="str">
        <f>References!$H$3</f>
        <v>Standard</v>
      </c>
      <c r="AG56" s="244"/>
      <c r="AH56" s="245" t="str">
        <f>References!$H$4</f>
        <v>Low initiative</v>
      </c>
      <c r="AI56" s="246"/>
      <c r="AJ56" s="247"/>
    </row>
    <row r="57" spans="1:36" ht="16.5" thickBot="1" x14ac:dyDescent="0.3">
      <c r="A57" s="127" t="str">
        <f>References!$C$2</f>
        <v>Direct</v>
      </c>
      <c r="B57" s="143" t="str">
        <f>References!$A$2</f>
        <v>dmg</v>
      </c>
      <c r="C57" s="127">
        <v>8</v>
      </c>
      <c r="D57" s="145"/>
      <c r="E57" s="128">
        <v>100</v>
      </c>
      <c r="F57" s="144">
        <v>9</v>
      </c>
      <c r="G57" s="145"/>
      <c r="H57" s="127">
        <v>11</v>
      </c>
      <c r="I57" s="145"/>
      <c r="J57" s="128">
        <v>100</v>
      </c>
      <c r="K57" s="154"/>
      <c r="L57" s="162"/>
      <c r="M57" s="18"/>
      <c r="N57" s="127" t="str">
        <f>References!$C$2</f>
        <v>Direct</v>
      </c>
      <c r="O57" s="143" t="str">
        <f>References!$A$9</f>
        <v>roll</v>
      </c>
      <c r="P57" s="127">
        <v>1</v>
      </c>
      <c r="Q57" s="145"/>
      <c r="R57" s="128">
        <v>100</v>
      </c>
      <c r="S57" s="144">
        <v>1</v>
      </c>
      <c r="T57" s="145"/>
      <c r="U57" s="127">
        <v>1</v>
      </c>
      <c r="V57" s="145"/>
      <c r="W57" s="128">
        <v>100</v>
      </c>
      <c r="X57" s="154"/>
      <c r="Y57" s="162"/>
      <c r="Z57" s="18"/>
      <c r="AA57" s="129" t="str">
        <f>References!$C$2</f>
        <v>Direct</v>
      </c>
      <c r="AB57" s="139" t="str">
        <f>References!$A$2</f>
        <v>dmg</v>
      </c>
      <c r="AC57" s="127">
        <v>3</v>
      </c>
      <c r="AD57" s="145"/>
      <c r="AE57" s="128">
        <v>100</v>
      </c>
      <c r="AF57" s="144">
        <v>4</v>
      </c>
      <c r="AG57" s="145"/>
      <c r="AH57" s="127">
        <v>5</v>
      </c>
      <c r="AI57" s="145"/>
      <c r="AJ57" s="128">
        <v>50</v>
      </c>
    </row>
    <row r="58" spans="1:36" ht="16.5" thickBot="1" x14ac:dyDescent="0.3">
      <c r="A58" s="127" t="str">
        <f>References!$C$2</f>
        <v>Direct</v>
      </c>
      <c r="B58" s="139" t="str">
        <f>References!$A$5</f>
        <v>def</v>
      </c>
      <c r="C58" s="129">
        <v>1</v>
      </c>
      <c r="D58" s="145"/>
      <c r="E58" s="128">
        <v>100</v>
      </c>
      <c r="F58" s="141">
        <v>2</v>
      </c>
      <c r="G58" s="145"/>
      <c r="H58" s="129">
        <v>3</v>
      </c>
      <c r="I58" s="145"/>
      <c r="J58" s="128">
        <v>100</v>
      </c>
      <c r="K58" s="154"/>
      <c r="L58" s="162"/>
      <c r="M58" s="18"/>
      <c r="N58" s="129" t="str">
        <f>References!$C$3</f>
        <v>Temp</v>
      </c>
      <c r="O58" s="143" t="str">
        <f>References!$A$9</f>
        <v>roll</v>
      </c>
      <c r="P58" s="129">
        <v>1</v>
      </c>
      <c r="Q58" s="130">
        <v>1</v>
      </c>
      <c r="R58" s="128">
        <v>100</v>
      </c>
      <c r="S58" s="141">
        <v>1</v>
      </c>
      <c r="T58" s="142">
        <v>1</v>
      </c>
      <c r="U58" s="129">
        <v>1</v>
      </c>
      <c r="V58" s="130">
        <v>2</v>
      </c>
      <c r="W58" s="140">
        <f>(2/3)*100</f>
        <v>66.666666666666657</v>
      </c>
      <c r="X58" s="154"/>
      <c r="Y58" s="162"/>
      <c r="Z58" s="18"/>
    </row>
    <row r="59" spans="1:36" ht="16.5" thickBot="1" x14ac:dyDescent="0.3">
      <c r="A59" s="127" t="str">
        <f>References!$C$5</f>
        <v>SelfTemp</v>
      </c>
      <c r="B59" s="139" t="str">
        <f>References!$A$5</f>
        <v>def</v>
      </c>
      <c r="C59" s="127">
        <v>2</v>
      </c>
      <c r="D59" s="130">
        <v>1</v>
      </c>
      <c r="E59" s="128">
        <v>100</v>
      </c>
      <c r="F59" s="144">
        <v>2</v>
      </c>
      <c r="G59" s="142">
        <v>1</v>
      </c>
      <c r="H59" s="127">
        <v>2</v>
      </c>
      <c r="I59" s="130">
        <v>1</v>
      </c>
      <c r="J59" s="128">
        <v>100</v>
      </c>
      <c r="L59" s="167"/>
      <c r="Y59" s="163"/>
    </row>
    <row r="60" spans="1:36" ht="16.5" thickBot="1" x14ac:dyDescent="0.3">
      <c r="A60" s="127" t="str">
        <f>References!$C$5</f>
        <v>SelfTemp</v>
      </c>
      <c r="B60" s="143" t="str">
        <f>References!$A$3</f>
        <v>hp</v>
      </c>
      <c r="C60" s="129">
        <v>2</v>
      </c>
      <c r="D60" s="130">
        <v>1</v>
      </c>
      <c r="E60" s="128">
        <v>100</v>
      </c>
      <c r="F60" s="141">
        <v>4</v>
      </c>
      <c r="G60" s="142">
        <v>1</v>
      </c>
      <c r="H60" s="129">
        <v>6</v>
      </c>
      <c r="I60" s="130">
        <v>1</v>
      </c>
      <c r="J60" s="128">
        <v>100</v>
      </c>
      <c r="L60" s="167"/>
      <c r="Y60" s="163"/>
    </row>
  </sheetData>
  <mergeCells count="144">
    <mergeCell ref="T37:U37"/>
    <mergeCell ref="T49:U49"/>
    <mergeCell ref="T50:U50"/>
    <mergeCell ref="T51:U51"/>
    <mergeCell ref="T52:U52"/>
    <mergeCell ref="E35:F35"/>
    <mergeCell ref="E36:F36"/>
    <mergeCell ref="E37:F37"/>
    <mergeCell ref="AG49:AH49"/>
    <mergeCell ref="AG50:AH50"/>
    <mergeCell ref="AG51:AH51"/>
    <mergeCell ref="AG52:AH52"/>
    <mergeCell ref="E38:F38"/>
    <mergeCell ref="E39:F39"/>
    <mergeCell ref="G35:H35"/>
    <mergeCell ref="G36:H36"/>
    <mergeCell ref="G37:H37"/>
    <mergeCell ref="G38:H38"/>
    <mergeCell ref="G39:H39"/>
    <mergeCell ref="T38:U38"/>
    <mergeCell ref="T39:U39"/>
    <mergeCell ref="U26:W26"/>
    <mergeCell ref="AC26:AE26"/>
    <mergeCell ref="AF26:AG26"/>
    <mergeCell ref="AG53:AH53"/>
    <mergeCell ref="A1:AJ1"/>
    <mergeCell ref="AE39:AF39"/>
    <mergeCell ref="AE38:AF38"/>
    <mergeCell ref="AE37:AF37"/>
    <mergeCell ref="AE36:AF36"/>
    <mergeCell ref="AE35:AF35"/>
    <mergeCell ref="AG35:AH35"/>
    <mergeCell ref="AG36:AH36"/>
    <mergeCell ref="AG37:AH37"/>
    <mergeCell ref="AG38:AH38"/>
    <mergeCell ref="AG39:AH39"/>
    <mergeCell ref="R35:S35"/>
    <mergeCell ref="R36:S36"/>
    <mergeCell ref="R37:S37"/>
    <mergeCell ref="R38:S38"/>
    <mergeCell ref="R39:S39"/>
    <mergeCell ref="T35:U35"/>
    <mergeCell ref="T36:U36"/>
    <mergeCell ref="T53:U53"/>
    <mergeCell ref="AE49:AF49"/>
    <mergeCell ref="AE50:AF50"/>
    <mergeCell ref="AE51:AF51"/>
    <mergeCell ref="AE52:AF52"/>
    <mergeCell ref="AE53:AF53"/>
    <mergeCell ref="G50:H50"/>
    <mergeCell ref="G51:H51"/>
    <mergeCell ref="G52:H52"/>
    <mergeCell ref="G53:H53"/>
    <mergeCell ref="R49:S49"/>
    <mergeCell ref="R50:S50"/>
    <mergeCell ref="R51:S51"/>
    <mergeCell ref="R52:S52"/>
    <mergeCell ref="R53:S53"/>
    <mergeCell ref="T4:U4"/>
    <mergeCell ref="T5:U5"/>
    <mergeCell ref="T6:U6"/>
    <mergeCell ref="T7:U7"/>
    <mergeCell ref="AE19:AF19"/>
    <mergeCell ref="R22:S22"/>
    <mergeCell ref="R23:S23"/>
    <mergeCell ref="T19:U19"/>
    <mergeCell ref="T20:U20"/>
    <mergeCell ref="T21:U21"/>
    <mergeCell ref="T22:U22"/>
    <mergeCell ref="T23:U23"/>
    <mergeCell ref="AE20:AF20"/>
    <mergeCell ref="AE21:AF21"/>
    <mergeCell ref="AE22:AF22"/>
    <mergeCell ref="AE23:AF23"/>
    <mergeCell ref="AF56:AG56"/>
    <mergeCell ref="AH56:AJ56"/>
    <mergeCell ref="AC42:AE42"/>
    <mergeCell ref="AF42:AG42"/>
    <mergeCell ref="AH42:AJ42"/>
    <mergeCell ref="C56:E56"/>
    <mergeCell ref="F56:G56"/>
    <mergeCell ref="H56:J56"/>
    <mergeCell ref="P56:R56"/>
    <mergeCell ref="S56:T56"/>
    <mergeCell ref="U56:W56"/>
    <mergeCell ref="AC56:AE56"/>
    <mergeCell ref="C42:E42"/>
    <mergeCell ref="F42:G42"/>
    <mergeCell ref="H42:J42"/>
    <mergeCell ref="P42:R42"/>
    <mergeCell ref="S42:T42"/>
    <mergeCell ref="U42:W42"/>
    <mergeCell ref="E49:F49"/>
    <mergeCell ref="E50:F50"/>
    <mergeCell ref="E51:F51"/>
    <mergeCell ref="E52:F52"/>
    <mergeCell ref="E53:F53"/>
    <mergeCell ref="G49:H49"/>
    <mergeCell ref="AH26:AJ26"/>
    <mergeCell ref="P10:R10"/>
    <mergeCell ref="S10:T10"/>
    <mergeCell ref="U10:W10"/>
    <mergeCell ref="C26:E26"/>
    <mergeCell ref="F26:G26"/>
    <mergeCell ref="H26:J26"/>
    <mergeCell ref="AG19:AH19"/>
    <mergeCell ref="AG20:AH20"/>
    <mergeCell ref="AG21:AH21"/>
    <mergeCell ref="AG22:AH22"/>
    <mergeCell ref="AG23:AH23"/>
    <mergeCell ref="E19:F19"/>
    <mergeCell ref="E20:F20"/>
    <mergeCell ref="E21:F21"/>
    <mergeCell ref="E22:F22"/>
    <mergeCell ref="E23:F23"/>
    <mergeCell ref="G19:H19"/>
    <mergeCell ref="G20:H20"/>
    <mergeCell ref="G21:H21"/>
    <mergeCell ref="G22:H22"/>
    <mergeCell ref="G23:H23"/>
    <mergeCell ref="E3:F3"/>
    <mergeCell ref="E4:F4"/>
    <mergeCell ref="E5:F5"/>
    <mergeCell ref="E6:F6"/>
    <mergeCell ref="P26:R26"/>
    <mergeCell ref="C10:E10"/>
    <mergeCell ref="F10:G10"/>
    <mergeCell ref="H10:J10"/>
    <mergeCell ref="E7:F7"/>
    <mergeCell ref="R19:S19"/>
    <mergeCell ref="R20:S20"/>
    <mergeCell ref="R21:S21"/>
    <mergeCell ref="S26:T26"/>
    <mergeCell ref="G3:H3"/>
    <mergeCell ref="G4:H4"/>
    <mergeCell ref="G6:H6"/>
    <mergeCell ref="G5:H5"/>
    <mergeCell ref="G7:H7"/>
    <mergeCell ref="R3:S3"/>
    <mergeCell ref="R4:S4"/>
    <mergeCell ref="R5:S5"/>
    <mergeCell ref="R6:S6"/>
    <mergeCell ref="R7:S7"/>
    <mergeCell ref="T3:U3"/>
  </mergeCells>
  <printOptions horizontalCentered="1" verticalCentered="1"/>
  <pageMargins left="7.874015748031496E-2" right="7.874015748031496E-2" top="7.874015748031496E-2" bottom="0" header="0" footer="7.874015748031496E-2"/>
  <pageSetup scale="64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05C26-6276-4A10-B28A-B235BE1821A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E3395-78D0-499E-9B4C-4703ABF14D16}">
  <sheetPr>
    <pageSetUpPr fitToPage="1"/>
  </sheetPr>
  <dimension ref="A1:AJ60"/>
  <sheetViews>
    <sheetView topLeftCell="A28" workbookViewId="0">
      <selection activeCell="AA49" sqref="AA49:AJ58"/>
    </sheetView>
  </sheetViews>
  <sheetFormatPr defaultRowHeight="15" x14ac:dyDescent="0.25"/>
  <cols>
    <col min="1" max="1" width="9.7109375" bestFit="1" customWidth="1"/>
    <col min="2" max="2" width="4.85546875" bestFit="1" customWidth="1"/>
    <col min="3" max="3" width="3.5703125" bestFit="1" customWidth="1"/>
    <col min="4" max="4" width="5.85546875" bestFit="1" customWidth="1"/>
    <col min="5" max="5" width="6.5703125" bestFit="1" customWidth="1"/>
    <col min="6" max="7" width="8.140625" customWidth="1"/>
    <col min="8" max="8" width="8.28515625" customWidth="1"/>
    <col min="9" max="9" width="5.85546875" bestFit="1" customWidth="1"/>
    <col min="10" max="10" width="6.5703125" style="126" bestFit="1" customWidth="1"/>
    <col min="11" max="12" width="1.28515625" style="126" customWidth="1"/>
    <col min="13" max="13" width="1.42578125" customWidth="1"/>
    <col min="14" max="14" width="9.7109375" bestFit="1" customWidth="1"/>
    <col min="15" max="15" width="4.85546875" bestFit="1" customWidth="1"/>
    <col min="16" max="16" width="3.5703125" bestFit="1" customWidth="1"/>
    <col min="17" max="17" width="5.85546875" bestFit="1" customWidth="1"/>
    <col min="18" max="18" width="6.5703125" bestFit="1" customWidth="1"/>
    <col min="21" max="21" width="4.85546875" customWidth="1"/>
    <col min="22" max="22" width="5.85546875" bestFit="1" customWidth="1"/>
    <col min="23" max="23" width="6.5703125" bestFit="1" customWidth="1"/>
    <col min="24" max="24" width="1.42578125" customWidth="1"/>
    <col min="25" max="25" width="1.28515625" customWidth="1"/>
    <col min="26" max="26" width="1.42578125" customWidth="1"/>
    <col min="27" max="27" width="9.42578125" bestFit="1" customWidth="1"/>
    <col min="28" max="28" width="4.85546875" bestFit="1" customWidth="1"/>
    <col min="29" max="29" width="3.5703125" bestFit="1" customWidth="1"/>
    <col min="30" max="30" width="5.85546875" bestFit="1" customWidth="1"/>
    <col min="31" max="31" width="6.5703125" bestFit="1" customWidth="1"/>
    <col min="34" max="34" width="3.5703125" bestFit="1" customWidth="1"/>
    <col min="35" max="35" width="5.85546875" bestFit="1" customWidth="1"/>
    <col min="36" max="36" width="6.5703125" bestFit="1" customWidth="1"/>
  </cols>
  <sheetData>
    <row r="1" spans="1:36" ht="28.5" x14ac:dyDescent="0.45">
      <c r="A1" s="237" t="s">
        <v>76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  <c r="Y1" s="237"/>
      <c r="Z1" s="237"/>
      <c r="AA1" s="237"/>
      <c r="AB1" s="237"/>
      <c r="AC1" s="237"/>
      <c r="AD1" s="237"/>
      <c r="AE1" s="237"/>
      <c r="AF1" s="237"/>
      <c r="AG1" s="237"/>
      <c r="AH1" s="237"/>
      <c r="AI1" s="237"/>
      <c r="AJ1" s="237"/>
    </row>
    <row r="2" spans="1:36" ht="15.75" thickBot="1" x14ac:dyDescent="0.3"/>
    <row r="3" spans="1:36" ht="15.75" x14ac:dyDescent="0.25">
      <c r="E3" s="224" t="str">
        <f>References!$F$2</f>
        <v>Name</v>
      </c>
      <c r="F3" s="225"/>
      <c r="G3" s="222" t="s">
        <v>7</v>
      </c>
      <c r="H3" s="223"/>
      <c r="R3" s="224" t="str">
        <f>References!$F$2</f>
        <v>Name</v>
      </c>
      <c r="S3" s="225"/>
      <c r="T3" s="222" t="s">
        <v>105</v>
      </c>
      <c r="U3" s="223"/>
      <c r="W3" s="126"/>
      <c r="X3" s="126"/>
      <c r="Y3" s="126"/>
      <c r="AA3" s="152"/>
      <c r="AB3" s="153"/>
      <c r="AC3" s="13"/>
      <c r="AD3" s="13"/>
      <c r="AE3" s="13"/>
      <c r="AF3" s="13"/>
      <c r="AG3" s="13"/>
      <c r="AH3" s="13"/>
      <c r="AI3" s="13"/>
      <c r="AJ3" s="154"/>
    </row>
    <row r="4" spans="1:36" ht="15.75" x14ac:dyDescent="0.25">
      <c r="E4" s="212" t="str">
        <f>References!$F$3</f>
        <v>Class</v>
      </c>
      <c r="F4" s="213"/>
      <c r="G4" s="218" t="str">
        <f>References!$D$4</f>
        <v>Sorcerer</v>
      </c>
      <c r="H4" s="219"/>
      <c r="R4" s="212" t="str">
        <f>References!$F$3</f>
        <v>Class</v>
      </c>
      <c r="S4" s="213"/>
      <c r="T4" s="218" t="str">
        <f>References!$D$4</f>
        <v>Sorcerer</v>
      </c>
      <c r="U4" s="219"/>
      <c r="W4" s="126"/>
      <c r="X4" s="126"/>
      <c r="Y4" s="126"/>
      <c r="AA4" s="152"/>
      <c r="AB4" s="153"/>
      <c r="AC4" s="13"/>
      <c r="AD4" s="13"/>
      <c r="AE4" s="13"/>
      <c r="AF4" s="13"/>
      <c r="AG4" s="13"/>
      <c r="AH4" s="13"/>
      <c r="AI4" s="13"/>
      <c r="AJ4" s="154"/>
    </row>
    <row r="5" spans="1:36" ht="15.75" x14ac:dyDescent="0.25">
      <c r="E5" s="212" t="str">
        <f>References!$F$4</f>
        <v>Type</v>
      </c>
      <c r="F5" s="213"/>
      <c r="G5" s="218" t="str">
        <f>References!$B$2</f>
        <v>Offensive</v>
      </c>
      <c r="H5" s="219"/>
      <c r="R5" s="212" t="str">
        <f>References!$F$4</f>
        <v>Type</v>
      </c>
      <c r="S5" s="213"/>
      <c r="T5" s="218" t="str">
        <f>References!$B$3</f>
        <v>Defensive</v>
      </c>
      <c r="U5" s="219"/>
      <c r="W5" s="126"/>
      <c r="X5" s="126"/>
      <c r="Y5" s="126"/>
      <c r="AA5" s="152"/>
      <c r="AB5" s="153"/>
      <c r="AC5" s="13"/>
      <c r="AD5" s="13"/>
      <c r="AE5" s="13"/>
      <c r="AF5" s="13"/>
      <c r="AG5" s="13"/>
      <c r="AH5" s="13"/>
      <c r="AI5" s="13"/>
      <c r="AJ5" s="154"/>
    </row>
    <row r="6" spans="1:36" ht="15.75" x14ac:dyDescent="0.25">
      <c r="E6" s="212" t="str">
        <f>References!$F$5</f>
        <v>Nb. Targets</v>
      </c>
      <c r="F6" s="213"/>
      <c r="G6" s="218">
        <v>1</v>
      </c>
      <c r="H6" s="219"/>
      <c r="R6" s="212" t="str">
        <f>References!$F$5</f>
        <v>Nb. Targets</v>
      </c>
      <c r="S6" s="213"/>
      <c r="T6" s="218">
        <v>1</v>
      </c>
      <c r="U6" s="219"/>
      <c r="W6" s="126"/>
      <c r="X6" s="126"/>
      <c r="Y6" s="126"/>
      <c r="AA6" s="152"/>
      <c r="AB6" s="153"/>
      <c r="AC6" s="13"/>
      <c r="AD6" s="13"/>
      <c r="AE6" s="13"/>
      <c r="AF6" s="13"/>
      <c r="AG6" s="13"/>
      <c r="AH6" s="13"/>
      <c r="AI6" s="13"/>
      <c r="AJ6" s="154"/>
    </row>
    <row r="7" spans="1:36" ht="16.5" thickBot="1" x14ac:dyDescent="0.3">
      <c r="E7" s="214" t="str">
        <f>References!$F$6</f>
        <v>Energy cost</v>
      </c>
      <c r="F7" s="215"/>
      <c r="G7" s="216">
        <v>2</v>
      </c>
      <c r="H7" s="217"/>
      <c r="R7" s="214" t="str">
        <f>References!$F$6</f>
        <v>Energy cost</v>
      </c>
      <c r="S7" s="215"/>
      <c r="T7" s="216">
        <v>3</v>
      </c>
      <c r="U7" s="217"/>
      <c r="W7" s="126"/>
      <c r="X7" s="126"/>
      <c r="Y7" s="126"/>
      <c r="AA7" s="152"/>
      <c r="AB7" s="153"/>
      <c r="AC7" s="13"/>
      <c r="AD7" s="13"/>
      <c r="AE7" s="13"/>
      <c r="AF7" s="13"/>
      <c r="AG7" s="13"/>
      <c r="AH7" s="13"/>
      <c r="AI7" s="13"/>
      <c r="AJ7" s="154"/>
    </row>
    <row r="8" spans="1:36" ht="16.5" thickBot="1" x14ac:dyDescent="0.3">
      <c r="A8" s="13"/>
      <c r="B8" s="13"/>
      <c r="C8" s="13"/>
      <c r="D8" s="13"/>
      <c r="E8" s="154"/>
      <c r="F8" s="156"/>
      <c r="G8" s="156"/>
      <c r="H8" s="13"/>
      <c r="I8" s="13"/>
      <c r="J8" s="154"/>
      <c r="N8" s="13"/>
      <c r="O8" s="13"/>
      <c r="P8" s="13"/>
      <c r="Q8" s="13"/>
      <c r="R8" s="154"/>
      <c r="S8" s="156"/>
      <c r="T8" s="156"/>
      <c r="U8" s="13"/>
      <c r="V8" s="13"/>
      <c r="W8" s="154"/>
      <c r="X8" s="126"/>
      <c r="Y8" s="126"/>
      <c r="AA8" s="152"/>
      <c r="AB8" s="153"/>
      <c r="AC8" s="13"/>
      <c r="AD8" s="13"/>
      <c r="AE8" s="13"/>
      <c r="AF8" s="13"/>
      <c r="AG8" s="13"/>
      <c r="AH8" s="13"/>
      <c r="AI8" s="13"/>
      <c r="AJ8" s="154"/>
    </row>
    <row r="9" spans="1:36" ht="16.5" thickBot="1" x14ac:dyDescent="0.3">
      <c r="A9" s="133" t="str">
        <f>References!$G$2</f>
        <v>Type</v>
      </c>
      <c r="B9" s="135" t="str">
        <f>References!$G$3</f>
        <v>Stat</v>
      </c>
      <c r="C9" s="133" t="str">
        <f>References!$G$4</f>
        <v>Nb</v>
      </c>
      <c r="D9" s="131" t="str">
        <f>References!$G$5</f>
        <v>Turns</v>
      </c>
      <c r="E9" s="132" t="str">
        <f>References!$G$6</f>
        <v>%</v>
      </c>
      <c r="F9" s="146" t="str">
        <f>References!$G$7</f>
        <v>Nb</v>
      </c>
      <c r="G9" s="147" t="str">
        <f>References!$G$8</f>
        <v>Turns</v>
      </c>
      <c r="H9" s="133" t="str">
        <f>References!$G$9</f>
        <v>Nb</v>
      </c>
      <c r="I9" s="131" t="str">
        <f>References!$G$10</f>
        <v>Turns</v>
      </c>
      <c r="J9" s="132" t="str">
        <f>References!$G$11</f>
        <v>%</v>
      </c>
      <c r="K9" s="155"/>
      <c r="L9" s="155"/>
      <c r="N9" s="133" t="str">
        <f>References!$G$2</f>
        <v>Type</v>
      </c>
      <c r="O9" s="135" t="str">
        <f>References!$G$3</f>
        <v>Stat</v>
      </c>
      <c r="P9" s="133" t="str">
        <f>References!$G$4</f>
        <v>Nb</v>
      </c>
      <c r="Q9" s="131" t="str">
        <f>References!$G$5</f>
        <v>Turns</v>
      </c>
      <c r="R9" s="132" t="str">
        <f>References!$G$6</f>
        <v>%</v>
      </c>
      <c r="S9" s="146" t="str">
        <f>References!$G$7</f>
        <v>Nb</v>
      </c>
      <c r="T9" s="147" t="str">
        <f>References!$G$8</f>
        <v>Turns</v>
      </c>
      <c r="U9" s="133" t="str">
        <f>References!$G$9</f>
        <v>Nb</v>
      </c>
      <c r="V9" s="131" t="str">
        <f>References!$G$10</f>
        <v>Turns</v>
      </c>
      <c r="W9" s="132" t="str">
        <f>References!$G$11</f>
        <v>%</v>
      </c>
      <c r="X9" s="155"/>
      <c r="Y9" s="155"/>
      <c r="Z9" s="18"/>
      <c r="AA9" s="152"/>
      <c r="AB9" s="152"/>
      <c r="AC9" s="152"/>
      <c r="AD9" s="152"/>
      <c r="AE9" s="155"/>
      <c r="AF9" s="156"/>
      <c r="AG9" s="156"/>
      <c r="AH9" s="152"/>
      <c r="AI9" s="152"/>
      <c r="AJ9" s="155"/>
    </row>
    <row r="10" spans="1:36" ht="15.75" thickBot="1" x14ac:dyDescent="0.3">
      <c r="A10" s="137"/>
      <c r="B10" s="138"/>
      <c r="C10" s="240" t="str">
        <f>References!$H$2</f>
        <v>High initiative</v>
      </c>
      <c r="D10" s="241"/>
      <c r="E10" s="242"/>
      <c r="F10" s="243" t="str">
        <f>References!$H$3</f>
        <v>Standard</v>
      </c>
      <c r="G10" s="244"/>
      <c r="H10" s="245" t="str">
        <f>References!$H$4</f>
        <v>Low initiative</v>
      </c>
      <c r="I10" s="246"/>
      <c r="J10" s="247"/>
      <c r="K10" s="160"/>
      <c r="L10" s="160"/>
      <c r="N10" s="134"/>
      <c r="O10" s="136"/>
      <c r="P10" s="248" t="str">
        <f>References!$H$2</f>
        <v>High initiative</v>
      </c>
      <c r="Q10" s="249"/>
      <c r="R10" s="250"/>
      <c r="S10" s="251" t="str">
        <f>References!$H$3</f>
        <v>Standard</v>
      </c>
      <c r="T10" s="252"/>
      <c r="U10" s="253" t="str">
        <f>References!$H$4</f>
        <v>Low initiative</v>
      </c>
      <c r="V10" s="254"/>
      <c r="W10" s="255"/>
      <c r="X10" s="158"/>
      <c r="Y10" s="158"/>
      <c r="Z10" s="18"/>
      <c r="AA10" s="157"/>
      <c r="AB10" s="157"/>
      <c r="AC10" s="157"/>
      <c r="AD10" s="157"/>
      <c r="AE10" s="157"/>
      <c r="AF10" s="159"/>
      <c r="AG10" s="159"/>
      <c r="AH10" s="157"/>
      <c r="AI10" s="157"/>
      <c r="AJ10" s="157"/>
    </row>
    <row r="11" spans="1:36" ht="16.5" thickBot="1" x14ac:dyDescent="0.3">
      <c r="A11" s="127" t="str">
        <f>References!$C$2</f>
        <v>Direct</v>
      </c>
      <c r="B11" s="143" t="str">
        <f>References!$A$2</f>
        <v>dmg</v>
      </c>
      <c r="C11" s="127">
        <v>2</v>
      </c>
      <c r="D11" s="145"/>
      <c r="E11" s="128">
        <f>(1/3)*100</f>
        <v>33.333333333333329</v>
      </c>
      <c r="F11" s="144">
        <v>3</v>
      </c>
      <c r="G11" s="145"/>
      <c r="H11" s="127">
        <v>4</v>
      </c>
      <c r="I11" s="145"/>
      <c r="J11" s="128">
        <f>(2/3)*100</f>
        <v>66.666666666666657</v>
      </c>
      <c r="K11" s="148"/>
      <c r="L11" s="148"/>
      <c r="N11" s="127" t="str">
        <f>References!$C$2</f>
        <v>Direct</v>
      </c>
      <c r="O11" s="143" t="str">
        <f>References!$A$3</f>
        <v>hp</v>
      </c>
      <c r="P11" s="127">
        <v>5</v>
      </c>
      <c r="Q11" s="145"/>
      <c r="R11" s="128">
        <v>50</v>
      </c>
      <c r="S11" s="144">
        <v>6</v>
      </c>
      <c r="T11" s="145"/>
      <c r="U11" s="127">
        <v>8</v>
      </c>
      <c r="V11" s="145"/>
      <c r="W11" s="128">
        <f>(1/3)*100</f>
        <v>33.333333333333329</v>
      </c>
      <c r="X11" s="154"/>
      <c r="Y11" s="154"/>
      <c r="Z11" s="18"/>
      <c r="AA11" s="13"/>
      <c r="AB11" s="13"/>
      <c r="AC11" s="13"/>
      <c r="AD11" s="156"/>
      <c r="AE11" s="154"/>
      <c r="AF11" s="156"/>
      <c r="AG11" s="156"/>
      <c r="AH11" s="13"/>
      <c r="AI11" s="156"/>
      <c r="AJ11" s="154"/>
    </row>
    <row r="12" spans="1:36" ht="15.75" x14ac:dyDescent="0.25">
      <c r="K12" s="148"/>
      <c r="L12" s="148"/>
      <c r="X12" s="154"/>
      <c r="Y12" s="154"/>
      <c r="Z12" s="18"/>
      <c r="AA12" s="13"/>
      <c r="AB12" s="13"/>
      <c r="AC12" s="13"/>
      <c r="AD12" s="13"/>
      <c r="AE12" s="154"/>
      <c r="AF12" s="156"/>
      <c r="AG12" s="156"/>
      <c r="AH12" s="13"/>
      <c r="AI12" s="13"/>
      <c r="AJ12" s="154"/>
    </row>
    <row r="13" spans="1:36" x14ac:dyDescent="0.25">
      <c r="X13" s="18"/>
      <c r="Y13" s="18"/>
      <c r="Z13" s="18"/>
    </row>
    <row r="14" spans="1:36" x14ac:dyDescent="0.25">
      <c r="X14" s="18"/>
      <c r="Y14" s="18"/>
      <c r="Z14" s="18"/>
    </row>
    <row r="15" spans="1:36" x14ac:dyDescent="0.25">
      <c r="X15" s="18"/>
      <c r="Y15" s="18"/>
      <c r="Z15" s="18"/>
    </row>
    <row r="16" spans="1:36" x14ac:dyDescent="0.25">
      <c r="X16" s="18"/>
      <c r="Y16" s="18"/>
      <c r="Z16" s="18"/>
    </row>
    <row r="17" spans="1:36" ht="6" customHeight="1" x14ac:dyDescent="0.25">
      <c r="A17" s="164"/>
      <c r="B17" s="164"/>
      <c r="C17" s="164"/>
      <c r="D17" s="164"/>
      <c r="E17" s="164"/>
      <c r="F17" s="164"/>
      <c r="G17" s="164"/>
      <c r="H17" s="164"/>
      <c r="I17" s="164"/>
      <c r="J17" s="165"/>
      <c r="K17" s="165"/>
      <c r="L17" s="165"/>
      <c r="M17" s="164"/>
      <c r="N17" s="164"/>
      <c r="O17" s="164"/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64"/>
      <c r="AA17" s="164"/>
      <c r="AB17" s="164"/>
      <c r="AC17" s="164"/>
      <c r="AD17" s="164"/>
      <c r="AE17" s="164"/>
      <c r="AF17" s="164"/>
      <c r="AG17" s="164"/>
      <c r="AH17" s="164"/>
      <c r="AI17" s="164"/>
      <c r="AJ17" s="164"/>
    </row>
    <row r="18" spans="1:36" ht="15.75" thickBot="1" x14ac:dyDescent="0.3">
      <c r="X18" s="18"/>
      <c r="Y18" s="18"/>
      <c r="Z18" s="18"/>
    </row>
    <row r="19" spans="1:36" ht="15.75" x14ac:dyDescent="0.25">
      <c r="E19" s="224" t="str">
        <f>References!$F$2</f>
        <v>Name</v>
      </c>
      <c r="F19" s="225"/>
      <c r="G19" s="222" t="s">
        <v>19</v>
      </c>
      <c r="H19" s="223"/>
      <c r="R19" s="224" t="str">
        <f>References!$F$2</f>
        <v>Name</v>
      </c>
      <c r="S19" s="225"/>
      <c r="T19" s="222" t="s">
        <v>20</v>
      </c>
      <c r="U19" s="223"/>
      <c r="W19" s="126"/>
      <c r="X19" s="166"/>
      <c r="Y19" s="166"/>
      <c r="Z19" s="18"/>
      <c r="AE19" s="224" t="str">
        <f>References!$F$2</f>
        <v>Name</v>
      </c>
      <c r="AF19" s="225"/>
      <c r="AG19" s="222" t="s">
        <v>106</v>
      </c>
      <c r="AH19" s="223"/>
      <c r="AJ19" s="126"/>
    </row>
    <row r="20" spans="1:36" ht="15.75" x14ac:dyDescent="0.25">
      <c r="E20" s="212" t="str">
        <f>References!$F$3</f>
        <v>Class</v>
      </c>
      <c r="F20" s="213"/>
      <c r="G20" s="218" t="str">
        <f>References!$E$9</f>
        <v>Wizard</v>
      </c>
      <c r="H20" s="219"/>
      <c r="R20" s="212" t="str">
        <f>References!$F$3</f>
        <v>Class</v>
      </c>
      <c r="S20" s="213"/>
      <c r="T20" s="218" t="str">
        <f>References!$E$10</f>
        <v>Leech</v>
      </c>
      <c r="U20" s="219"/>
      <c r="W20" s="126"/>
      <c r="X20" s="166"/>
      <c r="Y20" s="166"/>
      <c r="Z20" s="18"/>
      <c r="AE20" s="212" t="str">
        <f>References!$F$3</f>
        <v>Class</v>
      </c>
      <c r="AF20" s="213"/>
      <c r="AG20" s="218" t="str">
        <f>References!$E$11</f>
        <v>Shaman</v>
      </c>
      <c r="AH20" s="219"/>
      <c r="AJ20" s="126"/>
    </row>
    <row r="21" spans="1:36" ht="15.75" x14ac:dyDescent="0.25">
      <c r="E21" s="212" t="str">
        <f>References!$F$4</f>
        <v>Type</v>
      </c>
      <c r="F21" s="213"/>
      <c r="G21" s="218" t="str">
        <f>References!$B$2</f>
        <v>Offensive</v>
      </c>
      <c r="H21" s="219"/>
      <c r="R21" s="212" t="str">
        <f>References!$F$4</f>
        <v>Type</v>
      </c>
      <c r="S21" s="213"/>
      <c r="T21" s="218" t="str">
        <f>References!$B$2</f>
        <v>Offensive</v>
      </c>
      <c r="U21" s="219"/>
      <c r="W21" s="126"/>
      <c r="X21" s="166"/>
      <c r="Y21" s="166"/>
      <c r="Z21" s="18"/>
      <c r="AE21" s="212" t="str">
        <f>References!$F$4</f>
        <v>Type</v>
      </c>
      <c r="AF21" s="213"/>
      <c r="AG21" s="218" t="str">
        <f>References!$B$2</f>
        <v>Offensive</v>
      </c>
      <c r="AH21" s="219"/>
      <c r="AJ21" s="126"/>
    </row>
    <row r="22" spans="1:36" ht="15.75" x14ac:dyDescent="0.25">
      <c r="E22" s="212" t="str">
        <f>References!$F$5</f>
        <v>Nb. Targets</v>
      </c>
      <c r="F22" s="213"/>
      <c r="G22" s="218">
        <v>3</v>
      </c>
      <c r="H22" s="219"/>
      <c r="R22" s="212" t="str">
        <f>References!$F$5</f>
        <v>Nb. Targets</v>
      </c>
      <c r="S22" s="213"/>
      <c r="T22" s="218">
        <v>1</v>
      </c>
      <c r="U22" s="219"/>
      <c r="W22" s="126"/>
      <c r="X22" s="166"/>
      <c r="Y22" s="166"/>
      <c r="Z22" s="18"/>
      <c r="AE22" s="212" t="str">
        <f>References!$F$5</f>
        <v>Nb. Targets</v>
      </c>
      <c r="AF22" s="213"/>
      <c r="AG22" s="218">
        <v>1</v>
      </c>
      <c r="AH22" s="219"/>
      <c r="AJ22" s="126"/>
    </row>
    <row r="23" spans="1:36" ht="16.5" thickBot="1" x14ac:dyDescent="0.3">
      <c r="E23" s="214" t="str">
        <f>References!$F$6</f>
        <v>Energy cost</v>
      </c>
      <c r="F23" s="215"/>
      <c r="G23" s="216">
        <v>3</v>
      </c>
      <c r="H23" s="217"/>
      <c r="R23" s="214" t="str">
        <f>References!$F$6</f>
        <v>Energy cost</v>
      </c>
      <c r="S23" s="215"/>
      <c r="T23" s="216">
        <v>2</v>
      </c>
      <c r="U23" s="217"/>
      <c r="W23" s="126"/>
      <c r="X23" s="166"/>
      <c r="Y23" s="166"/>
      <c r="Z23" s="18"/>
      <c r="AE23" s="214" t="str">
        <f>References!$F$6</f>
        <v>Energy cost</v>
      </c>
      <c r="AF23" s="215"/>
      <c r="AG23" s="216">
        <v>1</v>
      </c>
      <c r="AH23" s="217"/>
      <c r="AJ23" s="126"/>
    </row>
    <row r="24" spans="1:36" ht="16.5" thickBot="1" x14ac:dyDescent="0.3">
      <c r="A24" s="13"/>
      <c r="B24" s="13"/>
      <c r="C24" s="13"/>
      <c r="D24" s="13"/>
      <c r="E24" s="154"/>
      <c r="F24" s="156"/>
      <c r="G24" s="156"/>
      <c r="H24" s="13"/>
      <c r="I24" s="13"/>
      <c r="J24" s="154"/>
      <c r="N24" s="13"/>
      <c r="O24" s="13"/>
      <c r="P24" s="13"/>
      <c r="Q24" s="13"/>
      <c r="R24" s="154"/>
      <c r="S24" s="156"/>
      <c r="T24" s="156"/>
      <c r="U24" s="13"/>
      <c r="V24" s="13"/>
      <c r="W24" s="154"/>
      <c r="X24" s="166"/>
      <c r="Y24" s="166"/>
      <c r="Z24" s="18"/>
      <c r="AA24" s="13"/>
      <c r="AB24" s="13"/>
      <c r="AC24" s="13"/>
      <c r="AD24" s="13"/>
      <c r="AE24" s="154"/>
      <c r="AF24" s="156"/>
      <c r="AG24" s="156"/>
      <c r="AH24" s="13"/>
      <c r="AI24" s="13"/>
      <c r="AJ24" s="154"/>
    </row>
    <row r="25" spans="1:36" ht="16.5" thickBot="1" x14ac:dyDescent="0.3">
      <c r="A25" s="133" t="str">
        <f>References!$G$2</f>
        <v>Type</v>
      </c>
      <c r="B25" s="135" t="str">
        <f>References!$G$3</f>
        <v>Stat</v>
      </c>
      <c r="C25" s="133" t="str">
        <f>References!$G$4</f>
        <v>Nb</v>
      </c>
      <c r="D25" s="131" t="str">
        <f>References!$G$5</f>
        <v>Turns</v>
      </c>
      <c r="E25" s="132" t="str">
        <f>References!$G$6</f>
        <v>%</v>
      </c>
      <c r="F25" s="146" t="str">
        <f>References!$G$7</f>
        <v>Nb</v>
      </c>
      <c r="G25" s="147" t="str">
        <f>References!$G$8</f>
        <v>Turns</v>
      </c>
      <c r="H25" s="133" t="str">
        <f>References!$G$9</f>
        <v>Nb</v>
      </c>
      <c r="I25" s="131" t="str">
        <f>References!$G$10</f>
        <v>Turns</v>
      </c>
      <c r="J25" s="132" t="str">
        <f>References!$G$11</f>
        <v>%</v>
      </c>
      <c r="K25" s="155"/>
      <c r="L25" s="155"/>
      <c r="N25" s="133" t="str">
        <f>References!$G$2</f>
        <v>Type</v>
      </c>
      <c r="O25" s="135" t="str">
        <f>References!$G$3</f>
        <v>Stat</v>
      </c>
      <c r="P25" s="133" t="str">
        <f>References!$G$4</f>
        <v>Nb</v>
      </c>
      <c r="Q25" s="131" t="str">
        <f>References!$G$5</f>
        <v>Turns</v>
      </c>
      <c r="R25" s="132" t="str">
        <f>References!$G$6</f>
        <v>%</v>
      </c>
      <c r="S25" s="146" t="str">
        <f>References!$G$7</f>
        <v>Nb</v>
      </c>
      <c r="T25" s="147" t="str">
        <f>References!$G$8</f>
        <v>Turns</v>
      </c>
      <c r="U25" s="133" t="str">
        <f>References!$G$9</f>
        <v>Nb</v>
      </c>
      <c r="V25" s="131" t="str">
        <f>References!$G$10</f>
        <v>Turns</v>
      </c>
      <c r="W25" s="132" t="str">
        <f>References!$G$11</f>
        <v>%</v>
      </c>
      <c r="X25" s="155"/>
      <c r="Y25" s="155"/>
      <c r="Z25" s="18"/>
      <c r="AA25" s="133" t="str">
        <f>References!$G$2</f>
        <v>Type</v>
      </c>
      <c r="AB25" s="135" t="str">
        <f>References!$G$3</f>
        <v>Stat</v>
      </c>
      <c r="AC25" s="133" t="str">
        <f>References!$G$4</f>
        <v>Nb</v>
      </c>
      <c r="AD25" s="131" t="str">
        <f>References!$G$5</f>
        <v>Turns</v>
      </c>
      <c r="AE25" s="132" t="str">
        <f>References!$G$6</f>
        <v>%</v>
      </c>
      <c r="AF25" s="146" t="str">
        <f>References!$G$7</f>
        <v>Nb</v>
      </c>
      <c r="AG25" s="147" t="str">
        <f>References!$G$8</f>
        <v>Turns</v>
      </c>
      <c r="AH25" s="133" t="str">
        <f>References!$G$9</f>
        <v>Nb</v>
      </c>
      <c r="AI25" s="131" t="str">
        <f>References!$G$10</f>
        <v>Turns</v>
      </c>
      <c r="AJ25" s="132" t="str">
        <f>References!$G$11</f>
        <v>%</v>
      </c>
    </row>
    <row r="26" spans="1:36" ht="15.75" thickBot="1" x14ac:dyDescent="0.3">
      <c r="A26" s="137"/>
      <c r="B26" s="138"/>
      <c r="C26" s="240" t="str">
        <f>References!$H$2</f>
        <v>High initiative</v>
      </c>
      <c r="D26" s="241"/>
      <c r="E26" s="242"/>
      <c r="F26" s="243" t="str">
        <f>References!$H$3</f>
        <v>Standard</v>
      </c>
      <c r="G26" s="244"/>
      <c r="H26" s="245" t="str">
        <f>References!$H$4</f>
        <v>Low initiative</v>
      </c>
      <c r="I26" s="246"/>
      <c r="J26" s="247"/>
      <c r="K26" s="160"/>
      <c r="L26" s="160"/>
      <c r="N26" s="134"/>
      <c r="O26" s="136"/>
      <c r="P26" s="248" t="str">
        <f>References!$H$2</f>
        <v>High initiative</v>
      </c>
      <c r="Q26" s="249"/>
      <c r="R26" s="250"/>
      <c r="S26" s="251" t="str">
        <f>References!$H$3</f>
        <v>Standard</v>
      </c>
      <c r="T26" s="252"/>
      <c r="U26" s="253" t="str">
        <f>References!$H$4</f>
        <v>Low initiative</v>
      </c>
      <c r="V26" s="254"/>
      <c r="W26" s="255"/>
      <c r="X26" s="158"/>
      <c r="Y26" s="158"/>
      <c r="Z26" s="18"/>
      <c r="AA26" s="134"/>
      <c r="AB26" s="174"/>
      <c r="AC26" s="240" t="str">
        <f>References!$H$2</f>
        <v>High initiative</v>
      </c>
      <c r="AD26" s="241"/>
      <c r="AE26" s="242"/>
      <c r="AF26" s="243" t="str">
        <f>References!$H$3</f>
        <v>Standard</v>
      </c>
      <c r="AG26" s="244"/>
      <c r="AH26" s="245" t="str">
        <f>References!$H$4</f>
        <v>Low initiative</v>
      </c>
      <c r="AI26" s="246"/>
      <c r="AJ26" s="247"/>
    </row>
    <row r="27" spans="1:36" ht="16.5" thickBot="1" x14ac:dyDescent="0.3">
      <c r="A27" s="127" t="str">
        <f>References!$C$2</f>
        <v>Direct</v>
      </c>
      <c r="B27" s="143" t="str">
        <f>References!$A$2</f>
        <v>dmg</v>
      </c>
      <c r="C27" s="127">
        <v>2</v>
      </c>
      <c r="D27" s="145"/>
      <c r="E27" s="128">
        <v>50</v>
      </c>
      <c r="F27" s="144">
        <v>3</v>
      </c>
      <c r="G27" s="145"/>
      <c r="H27" s="127">
        <v>4</v>
      </c>
      <c r="I27" s="145"/>
      <c r="J27" s="128">
        <v>100</v>
      </c>
      <c r="K27" s="148"/>
      <c r="L27" s="148"/>
      <c r="N27" s="127" t="str">
        <f>References!$C$2</f>
        <v>Direct</v>
      </c>
      <c r="O27" s="143" t="str">
        <f>References!$A$2</f>
        <v>dmg</v>
      </c>
      <c r="P27" s="127">
        <v>2</v>
      </c>
      <c r="Q27" s="145"/>
      <c r="R27" s="128">
        <v>100</v>
      </c>
      <c r="S27" s="144">
        <v>2</v>
      </c>
      <c r="T27" s="145"/>
      <c r="U27" s="127">
        <v>3</v>
      </c>
      <c r="V27" s="145"/>
      <c r="W27" s="128">
        <v>100</v>
      </c>
      <c r="X27" s="154"/>
      <c r="Y27" s="154"/>
      <c r="Z27" s="18"/>
      <c r="AA27" s="129" t="str">
        <f>References!$C$2</f>
        <v>Direct</v>
      </c>
      <c r="AB27" s="139" t="str">
        <f>References!$A$5</f>
        <v>def</v>
      </c>
      <c r="AC27" s="127">
        <v>-1</v>
      </c>
      <c r="AD27" s="145"/>
      <c r="AE27" s="128">
        <v>100</v>
      </c>
      <c r="AF27" s="144">
        <v>-2</v>
      </c>
      <c r="AG27" s="145"/>
      <c r="AH27" s="127">
        <v>-2</v>
      </c>
      <c r="AI27" s="145"/>
      <c r="AJ27" s="128">
        <v>100</v>
      </c>
    </row>
    <row r="28" spans="1:36" ht="16.5" thickBot="1" x14ac:dyDescent="0.3">
      <c r="A28" s="10"/>
      <c r="B28" s="10"/>
      <c r="C28" s="10"/>
      <c r="D28" s="10"/>
      <c r="E28" s="148"/>
      <c r="F28" s="151"/>
      <c r="G28" s="151"/>
      <c r="H28" s="10"/>
      <c r="I28" s="10"/>
      <c r="J28" s="148"/>
      <c r="K28" s="148"/>
      <c r="L28" s="148"/>
      <c r="N28" s="127" t="str">
        <f>References!$C$4</f>
        <v>SelfDirect</v>
      </c>
      <c r="O28" s="143" t="str">
        <f>References!$A$3</f>
        <v>hp</v>
      </c>
      <c r="P28" s="129">
        <v>1</v>
      </c>
      <c r="Q28" s="145"/>
      <c r="R28" s="128">
        <v>100</v>
      </c>
      <c r="S28" s="141">
        <v>2</v>
      </c>
      <c r="T28" s="145"/>
      <c r="U28" s="129">
        <v>3</v>
      </c>
      <c r="V28" s="145"/>
      <c r="W28" s="128">
        <v>100</v>
      </c>
      <c r="X28" s="154"/>
      <c r="Y28" s="154"/>
      <c r="Z28" s="18"/>
      <c r="AA28" s="10"/>
      <c r="AB28" s="10"/>
      <c r="AC28" s="10"/>
      <c r="AD28" s="10"/>
      <c r="AE28" s="148"/>
      <c r="AF28" s="151"/>
      <c r="AG28" s="151"/>
      <c r="AH28" s="10"/>
      <c r="AI28" s="10"/>
      <c r="AJ28" s="148"/>
    </row>
    <row r="29" spans="1:36" ht="15.75" x14ac:dyDescent="0.25">
      <c r="A29" s="10"/>
      <c r="B29" s="10"/>
      <c r="C29" s="10"/>
      <c r="D29" s="10"/>
      <c r="E29" s="148"/>
      <c r="F29" s="151"/>
      <c r="G29" s="151"/>
      <c r="H29" s="10"/>
      <c r="I29" s="10"/>
      <c r="J29" s="148"/>
      <c r="K29" s="148"/>
      <c r="L29" s="148"/>
      <c r="N29" s="10"/>
      <c r="O29" s="10"/>
      <c r="P29" s="10"/>
      <c r="Q29" s="10"/>
      <c r="R29" s="148"/>
      <c r="S29" s="151"/>
      <c r="T29" s="151"/>
      <c r="U29" s="10"/>
      <c r="V29" s="10"/>
      <c r="W29" s="148"/>
      <c r="X29" s="154"/>
      <c r="Y29" s="154"/>
      <c r="Z29" s="18"/>
      <c r="AA29" s="10"/>
      <c r="AB29" s="10"/>
      <c r="AC29" s="10"/>
      <c r="AD29" s="10"/>
      <c r="AE29" s="148"/>
      <c r="AF29" s="151"/>
      <c r="AG29" s="151"/>
      <c r="AH29" s="10"/>
      <c r="AI29" s="10"/>
      <c r="AJ29" s="148"/>
    </row>
    <row r="30" spans="1:36" ht="15.75" x14ac:dyDescent="0.25">
      <c r="A30" s="10"/>
      <c r="B30" s="10"/>
      <c r="C30" s="10"/>
      <c r="D30" s="10"/>
      <c r="E30" s="148"/>
      <c r="F30" s="151"/>
      <c r="G30" s="151"/>
      <c r="H30" s="10"/>
      <c r="I30" s="10"/>
      <c r="J30" s="148"/>
      <c r="K30" s="148"/>
      <c r="L30" s="148"/>
      <c r="N30" s="10"/>
      <c r="O30" s="10"/>
      <c r="P30" s="10"/>
      <c r="Q30" s="10"/>
      <c r="R30" s="148"/>
      <c r="S30" s="151"/>
      <c r="T30" s="151"/>
      <c r="U30" s="10"/>
      <c r="V30" s="10"/>
      <c r="W30" s="148"/>
      <c r="X30" s="154"/>
      <c r="Y30" s="154"/>
      <c r="Z30" s="18"/>
      <c r="AA30" s="10"/>
      <c r="AB30" s="10"/>
      <c r="AC30" s="10"/>
      <c r="AD30" s="10"/>
      <c r="AE30" s="148"/>
      <c r="AF30" s="151"/>
      <c r="AG30" s="151"/>
      <c r="AH30" s="10"/>
      <c r="AI30" s="10"/>
      <c r="AJ30" s="148"/>
    </row>
    <row r="31" spans="1:36" ht="15.75" x14ac:dyDescent="0.25">
      <c r="A31" s="10"/>
      <c r="B31" s="10"/>
      <c r="C31" s="10"/>
      <c r="D31" s="10"/>
      <c r="E31" s="148"/>
      <c r="F31" s="151"/>
      <c r="G31" s="151"/>
      <c r="H31" s="10"/>
      <c r="I31" s="10"/>
      <c r="J31" s="148"/>
      <c r="K31" s="148"/>
      <c r="L31" s="148"/>
      <c r="N31" s="10"/>
      <c r="O31" s="10"/>
      <c r="P31" s="10"/>
      <c r="Q31" s="10"/>
      <c r="R31" s="148"/>
      <c r="S31" s="151"/>
      <c r="T31" s="151"/>
      <c r="U31" s="10"/>
      <c r="V31" s="10"/>
      <c r="W31" s="148"/>
      <c r="X31" s="154"/>
      <c r="Y31" s="154"/>
      <c r="Z31" s="18"/>
      <c r="AA31" s="10"/>
      <c r="AB31" s="10"/>
      <c r="AC31" s="10"/>
      <c r="AD31" s="10"/>
      <c r="AE31" s="148"/>
      <c r="AF31" s="151"/>
      <c r="AG31" s="151"/>
      <c r="AH31" s="10"/>
      <c r="AI31" s="10"/>
      <c r="AJ31" s="148"/>
    </row>
    <row r="32" spans="1:36" ht="15.75" x14ac:dyDescent="0.25">
      <c r="A32" s="10"/>
      <c r="B32" s="10"/>
      <c r="C32" s="10"/>
      <c r="D32" s="10"/>
      <c r="E32" s="148"/>
      <c r="F32" s="151"/>
      <c r="G32" s="151"/>
      <c r="H32" s="10"/>
      <c r="I32" s="10"/>
      <c r="J32" s="148"/>
      <c r="K32" s="148"/>
      <c r="L32" s="148"/>
      <c r="N32" s="10"/>
      <c r="O32" s="10"/>
      <c r="P32" s="10"/>
      <c r="Q32" s="10"/>
      <c r="R32" s="148"/>
      <c r="S32" s="151"/>
      <c r="T32" s="151"/>
      <c r="U32" s="10"/>
      <c r="V32" s="10"/>
      <c r="W32" s="148"/>
      <c r="X32" s="154"/>
      <c r="Y32" s="154"/>
      <c r="Z32" s="18"/>
      <c r="AA32" s="10"/>
      <c r="AB32" s="10"/>
      <c r="AC32" s="10"/>
      <c r="AD32" s="10"/>
      <c r="AE32" s="148"/>
      <c r="AF32" s="151"/>
      <c r="AG32" s="151"/>
      <c r="AH32" s="10"/>
      <c r="AI32" s="10"/>
      <c r="AJ32" s="148"/>
    </row>
    <row r="33" spans="1:36" ht="6" customHeight="1" x14ac:dyDescent="0.25">
      <c r="A33" s="161"/>
      <c r="B33" s="161"/>
      <c r="C33" s="161"/>
      <c r="D33" s="161"/>
      <c r="E33" s="162"/>
      <c r="F33" s="150"/>
      <c r="G33" s="150"/>
      <c r="H33" s="161"/>
      <c r="I33" s="161"/>
      <c r="J33" s="162"/>
      <c r="K33" s="162"/>
      <c r="L33" s="162"/>
      <c r="M33" s="163"/>
      <c r="N33" s="161"/>
      <c r="O33" s="161"/>
      <c r="P33" s="161"/>
      <c r="Q33" s="161"/>
      <c r="R33" s="162"/>
      <c r="S33" s="150"/>
      <c r="T33" s="150"/>
      <c r="U33" s="161"/>
      <c r="V33" s="161"/>
      <c r="W33" s="162"/>
      <c r="X33" s="162"/>
      <c r="Y33" s="162"/>
      <c r="Z33" s="163"/>
      <c r="AA33" s="161"/>
      <c r="AB33" s="161"/>
      <c r="AC33" s="161"/>
      <c r="AD33" s="161"/>
      <c r="AE33" s="162"/>
      <c r="AF33" s="150"/>
      <c r="AG33" s="150"/>
      <c r="AH33" s="161"/>
      <c r="AI33" s="161"/>
      <c r="AJ33" s="162"/>
    </row>
    <row r="34" spans="1:36" ht="15.75" thickBot="1" x14ac:dyDescent="0.3">
      <c r="L34" s="167"/>
      <c r="X34" s="18"/>
      <c r="Y34" s="163"/>
      <c r="Z34" s="18"/>
    </row>
    <row r="35" spans="1:36" ht="15.75" x14ac:dyDescent="0.25">
      <c r="E35" s="224" t="str">
        <f>References!$F$2</f>
        <v>Name</v>
      </c>
      <c r="F35" s="225"/>
      <c r="G35" s="222" t="s">
        <v>27</v>
      </c>
      <c r="H35" s="223"/>
      <c r="L35" s="167"/>
      <c r="R35" s="224" t="str">
        <f>References!$F$2</f>
        <v>Name</v>
      </c>
      <c r="S35" s="225"/>
      <c r="T35" s="222" t="s">
        <v>42</v>
      </c>
      <c r="U35" s="223"/>
      <c r="W35" s="126"/>
      <c r="X35" s="166"/>
      <c r="Y35" s="167"/>
      <c r="Z35" s="18"/>
      <c r="AE35" s="224" t="str">
        <f>References!$F$2</f>
        <v>Name</v>
      </c>
      <c r="AF35" s="225"/>
      <c r="AG35" s="222" t="s">
        <v>38</v>
      </c>
      <c r="AH35" s="223"/>
      <c r="AJ35" s="126"/>
    </row>
    <row r="36" spans="1:36" ht="15.75" x14ac:dyDescent="0.25">
      <c r="E36" s="212" t="str">
        <f>References!$F$3</f>
        <v>Class</v>
      </c>
      <c r="F36" s="213"/>
      <c r="G36" s="218" t="str">
        <f>References!$E$9</f>
        <v>Wizard</v>
      </c>
      <c r="H36" s="219"/>
      <c r="L36" s="167"/>
      <c r="R36" s="212" t="str">
        <f>References!$F$3</f>
        <v>Class</v>
      </c>
      <c r="S36" s="213"/>
      <c r="T36" s="218" t="str">
        <f>References!$E$10</f>
        <v>Leech</v>
      </c>
      <c r="U36" s="219"/>
      <c r="W36" s="126"/>
      <c r="X36" s="166"/>
      <c r="Y36" s="167"/>
      <c r="Z36" s="18"/>
      <c r="AE36" s="212" t="str">
        <f>References!$F$3</f>
        <v>Class</v>
      </c>
      <c r="AF36" s="213"/>
      <c r="AG36" s="218" t="str">
        <f>References!$E$11</f>
        <v>Shaman</v>
      </c>
      <c r="AH36" s="219"/>
      <c r="AJ36" s="126"/>
    </row>
    <row r="37" spans="1:36" ht="15.75" x14ac:dyDescent="0.25">
      <c r="E37" s="212" t="str">
        <f>References!$F$4</f>
        <v>Type</v>
      </c>
      <c r="F37" s="213"/>
      <c r="G37" s="218" t="str">
        <f>References!$B$2</f>
        <v>Offensive</v>
      </c>
      <c r="H37" s="219"/>
      <c r="L37" s="167"/>
      <c r="R37" s="212" t="str">
        <f>References!$F$4</f>
        <v>Type</v>
      </c>
      <c r="S37" s="213"/>
      <c r="T37" s="218" t="str">
        <f>References!$B$2</f>
        <v>Offensive</v>
      </c>
      <c r="U37" s="219"/>
      <c r="W37" s="126"/>
      <c r="X37" s="166"/>
      <c r="Y37" s="167"/>
      <c r="Z37" s="18"/>
      <c r="AE37" s="212" t="str">
        <f>References!$F$4</f>
        <v>Type</v>
      </c>
      <c r="AF37" s="213"/>
      <c r="AG37" s="218" t="str">
        <f>References!$B$2</f>
        <v>Offensive</v>
      </c>
      <c r="AH37" s="219"/>
      <c r="AJ37" s="126"/>
    </row>
    <row r="38" spans="1:36" ht="15.75" x14ac:dyDescent="0.25">
      <c r="E38" s="212" t="str">
        <f>References!$F$5</f>
        <v>Nb. Targets</v>
      </c>
      <c r="F38" s="213"/>
      <c r="G38" s="218">
        <v>1</v>
      </c>
      <c r="H38" s="219"/>
      <c r="L38" s="167"/>
      <c r="R38" s="212" t="str">
        <f>References!$F$5</f>
        <v>Nb. Targets</v>
      </c>
      <c r="S38" s="213"/>
      <c r="T38" s="218">
        <v>1</v>
      </c>
      <c r="U38" s="219"/>
      <c r="W38" s="126"/>
      <c r="X38" s="166"/>
      <c r="Y38" s="167"/>
      <c r="Z38" s="18"/>
      <c r="AE38" s="212" t="str">
        <f>References!$F$5</f>
        <v>Nb. Targets</v>
      </c>
      <c r="AF38" s="213"/>
      <c r="AG38" s="218">
        <v>1</v>
      </c>
      <c r="AH38" s="219"/>
      <c r="AJ38" s="126"/>
    </row>
    <row r="39" spans="1:36" ht="16.5" thickBot="1" x14ac:dyDescent="0.3">
      <c r="E39" s="214" t="str">
        <f>References!$F$6</f>
        <v>Energy cost</v>
      </c>
      <c r="F39" s="215"/>
      <c r="G39" s="216">
        <v>2</v>
      </c>
      <c r="H39" s="217"/>
      <c r="L39" s="167"/>
      <c r="R39" s="214" t="str">
        <f>References!$F$6</f>
        <v>Energy cost</v>
      </c>
      <c r="S39" s="215"/>
      <c r="T39" s="216">
        <v>3</v>
      </c>
      <c r="U39" s="217"/>
      <c r="W39" s="126"/>
      <c r="X39" s="166"/>
      <c r="Y39" s="167"/>
      <c r="Z39" s="18"/>
      <c r="AE39" s="214" t="str">
        <f>References!$F$6</f>
        <v>Energy cost</v>
      </c>
      <c r="AF39" s="215"/>
      <c r="AG39" s="216">
        <v>3</v>
      </c>
      <c r="AH39" s="217"/>
      <c r="AJ39" s="126"/>
    </row>
    <row r="40" spans="1:36" ht="16.5" thickBot="1" x14ac:dyDescent="0.3">
      <c r="A40" s="13"/>
      <c r="B40" s="13"/>
      <c r="C40" s="13"/>
      <c r="D40" s="13"/>
      <c r="E40" s="154"/>
      <c r="F40" s="156"/>
      <c r="G40" s="156"/>
      <c r="H40" s="13"/>
      <c r="I40" s="13"/>
      <c r="J40" s="154"/>
      <c r="L40" s="167"/>
      <c r="N40" s="13"/>
      <c r="O40" s="13"/>
      <c r="P40" s="13"/>
      <c r="Q40" s="13"/>
      <c r="R40" s="154"/>
      <c r="S40" s="156"/>
      <c r="T40" s="156"/>
      <c r="U40" s="13"/>
      <c r="V40" s="13"/>
      <c r="W40" s="154"/>
      <c r="X40" s="166"/>
      <c r="Y40" s="167"/>
      <c r="Z40" s="18"/>
      <c r="AA40" s="13"/>
      <c r="AB40" s="13"/>
      <c r="AC40" s="13"/>
      <c r="AD40" s="13"/>
      <c r="AE40" s="154"/>
      <c r="AF40" s="156"/>
      <c r="AG40" s="156"/>
      <c r="AH40" s="13"/>
      <c r="AI40" s="13"/>
      <c r="AJ40" s="154"/>
    </row>
    <row r="41" spans="1:36" ht="16.5" thickBot="1" x14ac:dyDescent="0.3">
      <c r="A41" s="133" t="str">
        <f>References!$G$2</f>
        <v>Type</v>
      </c>
      <c r="B41" s="135" t="str">
        <f>References!$G$3</f>
        <v>Stat</v>
      </c>
      <c r="C41" s="133" t="str">
        <f>References!$G$4</f>
        <v>Nb</v>
      </c>
      <c r="D41" s="131" t="str">
        <f>References!$G$5</f>
        <v>Turns</v>
      </c>
      <c r="E41" s="132" t="str">
        <f>References!$G$6</f>
        <v>%</v>
      </c>
      <c r="F41" s="146" t="str">
        <f>References!$G$7</f>
        <v>Nb</v>
      </c>
      <c r="G41" s="147" t="str">
        <f>References!$G$8</f>
        <v>Turns</v>
      </c>
      <c r="H41" s="133" t="str">
        <f>References!$G$9</f>
        <v>Nb</v>
      </c>
      <c r="I41" s="131" t="str">
        <f>References!$G$10</f>
        <v>Turns</v>
      </c>
      <c r="J41" s="132" t="str">
        <f>References!$G$11</f>
        <v>%</v>
      </c>
      <c r="K41" s="155"/>
      <c r="L41" s="149"/>
      <c r="N41" s="133" t="str">
        <f>References!$G$2</f>
        <v>Type</v>
      </c>
      <c r="O41" s="135" t="str">
        <f>References!$G$3</f>
        <v>Stat</v>
      </c>
      <c r="P41" s="133" t="str">
        <f>References!$G$4</f>
        <v>Nb</v>
      </c>
      <c r="Q41" s="131" t="str">
        <f>References!$G$5</f>
        <v>Turns</v>
      </c>
      <c r="R41" s="132" t="str">
        <f>References!$G$6</f>
        <v>%</v>
      </c>
      <c r="S41" s="146" t="str">
        <f>References!$G$7</f>
        <v>Nb</v>
      </c>
      <c r="T41" s="147" t="str">
        <f>References!$G$8</f>
        <v>Turns</v>
      </c>
      <c r="U41" s="133" t="str">
        <f>References!$G$9</f>
        <v>Nb</v>
      </c>
      <c r="V41" s="131" t="str">
        <f>References!$G$10</f>
        <v>Turns</v>
      </c>
      <c r="W41" s="132" t="str">
        <f>References!$G$11</f>
        <v>%</v>
      </c>
      <c r="X41" s="155"/>
      <c r="Y41" s="149"/>
      <c r="Z41" s="18"/>
      <c r="AA41" s="133" t="str">
        <f>References!$G$2</f>
        <v>Type</v>
      </c>
      <c r="AB41" s="135" t="str">
        <f>References!$G$3</f>
        <v>Stat</v>
      </c>
      <c r="AC41" s="133" t="str">
        <f>References!$G$4</f>
        <v>Nb</v>
      </c>
      <c r="AD41" s="131" t="str">
        <f>References!$G$5</f>
        <v>Turns</v>
      </c>
      <c r="AE41" s="132" t="str">
        <f>References!$G$6</f>
        <v>%</v>
      </c>
      <c r="AF41" s="146" t="str">
        <f>References!$G$7</f>
        <v>Nb</v>
      </c>
      <c r="AG41" s="147" t="str">
        <f>References!$G$8</f>
        <v>Turns</v>
      </c>
      <c r="AH41" s="133" t="str">
        <f>References!$G$9</f>
        <v>Nb</v>
      </c>
      <c r="AI41" s="131" t="str">
        <f>References!$G$10</f>
        <v>Turns</v>
      </c>
      <c r="AJ41" s="132" t="str">
        <f>References!$G$11</f>
        <v>%</v>
      </c>
    </row>
    <row r="42" spans="1:36" ht="15.75" thickBot="1" x14ac:dyDescent="0.3">
      <c r="A42" s="134"/>
      <c r="B42" s="136"/>
      <c r="C42" s="248" t="str">
        <f>References!$H$2</f>
        <v>High initiative</v>
      </c>
      <c r="D42" s="249"/>
      <c r="E42" s="250"/>
      <c r="F42" s="251" t="str">
        <f>References!$H$3</f>
        <v>Standard</v>
      </c>
      <c r="G42" s="252"/>
      <c r="H42" s="253" t="str">
        <f>References!$H$4</f>
        <v>Low initiative</v>
      </c>
      <c r="I42" s="254"/>
      <c r="J42" s="255"/>
      <c r="K42" s="160"/>
      <c r="L42" s="168"/>
      <c r="N42" s="137"/>
      <c r="O42" s="138"/>
      <c r="P42" s="240" t="str">
        <f>References!$H$2</f>
        <v>High initiative</v>
      </c>
      <c r="Q42" s="241"/>
      <c r="R42" s="242"/>
      <c r="S42" s="243" t="str">
        <f>References!$H$3</f>
        <v>Standard</v>
      </c>
      <c r="T42" s="244"/>
      <c r="U42" s="245" t="str">
        <f>References!$H$4</f>
        <v>Low initiative</v>
      </c>
      <c r="V42" s="246"/>
      <c r="W42" s="247"/>
      <c r="X42" s="158"/>
      <c r="Y42" s="168"/>
      <c r="Z42" s="18"/>
      <c r="AA42" s="134"/>
      <c r="AB42" s="136"/>
      <c r="AC42" s="248" t="str">
        <f>References!$H$2</f>
        <v>High initiative</v>
      </c>
      <c r="AD42" s="249"/>
      <c r="AE42" s="250"/>
      <c r="AF42" s="251" t="str">
        <f>References!$H$3</f>
        <v>Standard</v>
      </c>
      <c r="AG42" s="252"/>
      <c r="AH42" s="253" t="str">
        <f>References!$H$4</f>
        <v>Low initiative</v>
      </c>
      <c r="AI42" s="254"/>
      <c r="AJ42" s="255"/>
    </row>
    <row r="43" spans="1:36" ht="16.5" thickBot="1" x14ac:dyDescent="0.3">
      <c r="A43" s="129" t="str">
        <f>References!$C$2</f>
        <v>Direct</v>
      </c>
      <c r="B43" s="139" t="str">
        <f>References!$A$2</f>
        <v>dmg</v>
      </c>
      <c r="C43" s="129">
        <v>3</v>
      </c>
      <c r="D43" s="175"/>
      <c r="E43" s="140">
        <v>100</v>
      </c>
      <c r="F43" s="141">
        <v>4</v>
      </c>
      <c r="G43" s="175"/>
      <c r="H43" s="129">
        <v>5</v>
      </c>
      <c r="I43" s="175"/>
      <c r="J43" s="140">
        <f>(1/3)*100</f>
        <v>33.333333333333329</v>
      </c>
      <c r="K43" s="148"/>
      <c r="L43" s="162"/>
      <c r="N43" s="127" t="str">
        <f>References!$C$2</f>
        <v>Direct</v>
      </c>
      <c r="O43" s="143" t="str">
        <f>References!$A$2</f>
        <v>dmg</v>
      </c>
      <c r="P43" s="127">
        <v>7</v>
      </c>
      <c r="Q43" s="145"/>
      <c r="R43" s="128">
        <v>100</v>
      </c>
      <c r="S43" s="144">
        <v>8</v>
      </c>
      <c r="T43" s="145"/>
      <c r="U43" s="127">
        <v>9</v>
      </c>
      <c r="V43" s="145"/>
      <c r="W43" s="128">
        <v>100</v>
      </c>
      <c r="X43" s="154"/>
      <c r="Y43" s="162"/>
      <c r="Z43" s="18"/>
      <c r="AA43" s="129" t="str">
        <f>References!$C$2</f>
        <v>Direct</v>
      </c>
      <c r="AB43" s="139" t="str">
        <f>References!$A$2</f>
        <v>dmg</v>
      </c>
      <c r="AC43" s="129">
        <v>1</v>
      </c>
      <c r="AD43" s="175"/>
      <c r="AE43" s="140">
        <v>100</v>
      </c>
      <c r="AF43" s="141">
        <v>2</v>
      </c>
      <c r="AG43" s="175"/>
      <c r="AH43" s="129">
        <v>3</v>
      </c>
      <c r="AI43" s="175"/>
      <c r="AJ43" s="140">
        <v>100</v>
      </c>
    </row>
    <row r="44" spans="1:36" ht="16.5" thickBot="1" x14ac:dyDescent="0.3">
      <c r="A44" s="129" t="str">
        <f>References!$C$3</f>
        <v>Temp</v>
      </c>
      <c r="B44" s="139" t="str">
        <f>References!$A$6</f>
        <v>spd</v>
      </c>
      <c r="C44" s="127">
        <v>-2</v>
      </c>
      <c r="D44" s="130">
        <v>1</v>
      </c>
      <c r="E44" s="128">
        <v>100</v>
      </c>
      <c r="F44" s="144">
        <v>-2</v>
      </c>
      <c r="G44" s="142">
        <v>1</v>
      </c>
      <c r="H44" s="127">
        <v>-2</v>
      </c>
      <c r="I44" s="130">
        <v>1</v>
      </c>
      <c r="J44" s="128">
        <v>100</v>
      </c>
      <c r="K44" s="148"/>
      <c r="L44" s="162"/>
      <c r="N44" s="127" t="str">
        <f>References!$C$4</f>
        <v>SelfDirect</v>
      </c>
      <c r="O44" s="143" t="str">
        <f>References!$A$3</f>
        <v>hp</v>
      </c>
      <c r="P44" s="129">
        <v>-3</v>
      </c>
      <c r="Q44" s="145"/>
      <c r="R44" s="128">
        <v>100</v>
      </c>
      <c r="S44" s="141">
        <v>-3</v>
      </c>
      <c r="T44" s="145"/>
      <c r="U44" s="129">
        <v>-3</v>
      </c>
      <c r="V44" s="145"/>
      <c r="W44" s="128">
        <v>100</v>
      </c>
      <c r="X44" s="154"/>
      <c r="Y44" s="162"/>
      <c r="Z44" s="18"/>
      <c r="AA44" s="127" t="str">
        <f>References!$C$2</f>
        <v>Direct</v>
      </c>
      <c r="AB44" s="143" t="str">
        <f>References!$A$8</f>
        <v>stun</v>
      </c>
      <c r="AC44" s="129">
        <v>1</v>
      </c>
      <c r="AD44" s="145"/>
      <c r="AE44" s="128">
        <v>100</v>
      </c>
      <c r="AF44" s="141">
        <v>1</v>
      </c>
      <c r="AG44" s="145"/>
      <c r="AH44" s="129">
        <v>1</v>
      </c>
      <c r="AI44" s="145"/>
      <c r="AJ44" s="140">
        <v>100</v>
      </c>
    </row>
    <row r="45" spans="1:36" x14ac:dyDescent="0.25">
      <c r="K45" s="166"/>
      <c r="L45" s="167"/>
      <c r="M45" s="18"/>
      <c r="X45" s="18"/>
      <c r="Y45" s="163"/>
      <c r="Z45" s="18"/>
    </row>
    <row r="46" spans="1:36" x14ac:dyDescent="0.25">
      <c r="K46" s="166"/>
      <c r="L46" s="167"/>
      <c r="M46" s="18"/>
      <c r="X46" s="18"/>
      <c r="Y46" s="163"/>
      <c r="Z46" s="18"/>
    </row>
    <row r="47" spans="1:36" x14ac:dyDescent="0.25">
      <c r="K47" s="166"/>
      <c r="L47" s="167"/>
      <c r="M47" s="18"/>
      <c r="X47" s="18"/>
      <c r="Y47" s="163"/>
      <c r="Z47" s="18"/>
    </row>
    <row r="48" spans="1:36" ht="15.75" thickBot="1" x14ac:dyDescent="0.3">
      <c r="K48" s="166"/>
      <c r="L48" s="167"/>
      <c r="M48" s="18"/>
      <c r="X48" s="18"/>
      <c r="Y48" s="163"/>
      <c r="Z48" s="18"/>
    </row>
    <row r="49" spans="1:36" ht="15.75" x14ac:dyDescent="0.25">
      <c r="E49" s="224" t="str">
        <f>References!$F$2</f>
        <v>Name</v>
      </c>
      <c r="F49" s="225"/>
      <c r="G49" s="222" t="s">
        <v>107</v>
      </c>
      <c r="H49" s="223"/>
      <c r="K49" s="166"/>
      <c r="L49" s="167"/>
      <c r="M49" s="18"/>
      <c r="R49" s="224" t="str">
        <f>References!$F$2</f>
        <v>Name</v>
      </c>
      <c r="S49" s="225"/>
      <c r="T49" s="222" t="s">
        <v>109</v>
      </c>
      <c r="U49" s="223"/>
      <c r="W49" s="126"/>
      <c r="X49" s="166"/>
      <c r="Y49" s="167"/>
      <c r="Z49" s="18"/>
      <c r="AE49" s="224" t="str">
        <f>References!$F$2</f>
        <v>Name</v>
      </c>
      <c r="AF49" s="225"/>
      <c r="AG49" s="222" t="s">
        <v>108</v>
      </c>
      <c r="AH49" s="223"/>
      <c r="AJ49" s="126"/>
    </row>
    <row r="50" spans="1:36" ht="15.75" x14ac:dyDescent="0.25">
      <c r="E50" s="212" t="str">
        <f>References!$F$3</f>
        <v>Class</v>
      </c>
      <c r="F50" s="213"/>
      <c r="G50" s="218" t="str">
        <f>References!$E$9</f>
        <v>Wizard</v>
      </c>
      <c r="H50" s="219"/>
      <c r="K50" s="166"/>
      <c r="L50" s="167"/>
      <c r="M50" s="18"/>
      <c r="R50" s="212" t="str">
        <f>References!$F$3</f>
        <v>Class</v>
      </c>
      <c r="S50" s="213"/>
      <c r="T50" s="218" t="str">
        <f>References!$E$10</f>
        <v>Leech</v>
      </c>
      <c r="U50" s="219"/>
      <c r="W50" s="126"/>
      <c r="X50" s="166"/>
      <c r="Y50" s="167"/>
      <c r="Z50" s="18"/>
      <c r="AE50" s="212" t="str">
        <f>References!$F$3</f>
        <v>Class</v>
      </c>
      <c r="AF50" s="213"/>
      <c r="AG50" s="218" t="str">
        <f>References!$E$11</f>
        <v>Shaman</v>
      </c>
      <c r="AH50" s="219"/>
      <c r="AJ50" s="126"/>
    </row>
    <row r="51" spans="1:36" ht="15.75" x14ac:dyDescent="0.25">
      <c r="E51" s="212" t="str">
        <f>References!$F$4</f>
        <v>Type</v>
      </c>
      <c r="F51" s="213"/>
      <c r="G51" s="218" t="str">
        <f>References!$B$2</f>
        <v>Offensive</v>
      </c>
      <c r="H51" s="219"/>
      <c r="K51" s="166"/>
      <c r="L51" s="167"/>
      <c r="M51" s="18"/>
      <c r="R51" s="212" t="str">
        <f>References!$F$4</f>
        <v>Type</v>
      </c>
      <c r="S51" s="213"/>
      <c r="T51" s="218" t="str">
        <f>References!$B$3</f>
        <v>Defensive</v>
      </c>
      <c r="U51" s="219"/>
      <c r="W51" s="126"/>
      <c r="X51" s="126"/>
      <c r="Y51" s="167"/>
      <c r="AE51" s="212" t="str">
        <f>References!$F$4</f>
        <v>Type</v>
      </c>
      <c r="AF51" s="213"/>
      <c r="AG51" s="218" t="str">
        <f>References!$B$3</f>
        <v>Defensive</v>
      </c>
      <c r="AH51" s="219"/>
      <c r="AJ51" s="126"/>
    </row>
    <row r="52" spans="1:36" ht="15.75" x14ac:dyDescent="0.25">
      <c r="E52" s="212" t="str">
        <f>References!$F$5</f>
        <v>Nb. Targets</v>
      </c>
      <c r="F52" s="213"/>
      <c r="G52" s="218">
        <v>1</v>
      </c>
      <c r="H52" s="219"/>
      <c r="K52" s="166"/>
      <c r="L52" s="167"/>
      <c r="M52" s="18"/>
      <c r="R52" s="212" t="str">
        <f>References!$F$5</f>
        <v>Nb. Targets</v>
      </c>
      <c r="S52" s="213"/>
      <c r="T52" s="218">
        <v>1</v>
      </c>
      <c r="U52" s="219"/>
      <c r="W52" s="126"/>
      <c r="X52" s="126"/>
      <c r="Y52" s="167"/>
      <c r="AE52" s="212" t="str">
        <f>References!$F$5</f>
        <v>Nb. Targets</v>
      </c>
      <c r="AF52" s="213"/>
      <c r="AG52" s="218">
        <v>1</v>
      </c>
      <c r="AH52" s="219"/>
      <c r="AJ52" s="126"/>
    </row>
    <row r="53" spans="1:36" ht="16.5" thickBot="1" x14ac:dyDescent="0.3">
      <c r="E53" s="214" t="str">
        <f>References!$F$6</f>
        <v>Energy cost</v>
      </c>
      <c r="F53" s="215"/>
      <c r="G53" s="216">
        <v>4</v>
      </c>
      <c r="H53" s="217"/>
      <c r="K53" s="166"/>
      <c r="L53" s="167"/>
      <c r="M53" s="18"/>
      <c r="R53" s="214" t="str">
        <f>References!$F$6</f>
        <v>Energy cost</v>
      </c>
      <c r="S53" s="215"/>
      <c r="T53" s="216">
        <v>3</v>
      </c>
      <c r="U53" s="217"/>
      <c r="W53" s="126"/>
      <c r="X53" s="166"/>
      <c r="Y53" s="167"/>
      <c r="Z53" s="18"/>
      <c r="AE53" s="214" t="str">
        <f>References!$F$6</f>
        <v>Energy cost</v>
      </c>
      <c r="AF53" s="215"/>
      <c r="AG53" s="216">
        <v>3</v>
      </c>
      <c r="AH53" s="217"/>
      <c r="AJ53" s="126"/>
    </row>
    <row r="54" spans="1:36" ht="16.5" thickBot="1" x14ac:dyDescent="0.3">
      <c r="A54" s="13"/>
      <c r="B54" s="13"/>
      <c r="C54" s="13"/>
      <c r="D54" s="13"/>
      <c r="E54" s="154"/>
      <c r="F54" s="156"/>
      <c r="G54" s="156"/>
      <c r="H54" s="13"/>
      <c r="I54" s="13"/>
      <c r="J54" s="154"/>
      <c r="K54" s="166"/>
      <c r="L54" s="167"/>
      <c r="M54" s="18"/>
      <c r="N54" s="13"/>
      <c r="O54" s="13"/>
      <c r="P54" s="13"/>
      <c r="Q54" s="13"/>
      <c r="R54" s="154"/>
      <c r="S54" s="156"/>
      <c r="T54" s="156"/>
      <c r="U54" s="13"/>
      <c r="V54" s="13"/>
      <c r="W54" s="154"/>
      <c r="X54" s="166"/>
      <c r="Y54" s="167"/>
      <c r="Z54" s="18"/>
      <c r="AA54" s="13"/>
      <c r="AB54" s="13"/>
      <c r="AC54" s="13"/>
      <c r="AD54" s="13"/>
      <c r="AE54" s="154"/>
      <c r="AF54" s="156"/>
      <c r="AG54" s="156"/>
      <c r="AH54" s="13"/>
      <c r="AI54" s="13"/>
      <c r="AJ54" s="154"/>
    </row>
    <row r="55" spans="1:36" ht="16.5" thickBot="1" x14ac:dyDescent="0.3">
      <c r="A55" s="133" t="str">
        <f>References!$G$2</f>
        <v>Type</v>
      </c>
      <c r="B55" s="135" t="str">
        <f>References!$G$3</f>
        <v>Stat</v>
      </c>
      <c r="C55" s="133" t="str">
        <f>References!$G$4</f>
        <v>Nb</v>
      </c>
      <c r="D55" s="131" t="str">
        <f>References!$G$5</f>
        <v>Turns</v>
      </c>
      <c r="E55" s="132" t="str">
        <f>References!$G$6</f>
        <v>%</v>
      </c>
      <c r="F55" s="146" t="str">
        <f>References!$G$7</f>
        <v>Nb</v>
      </c>
      <c r="G55" s="147" t="str">
        <f>References!$G$8</f>
        <v>Turns</v>
      </c>
      <c r="H55" s="133" t="str">
        <f>References!$G$9</f>
        <v>Nb</v>
      </c>
      <c r="I55" s="131" t="str">
        <f>References!$G$10</f>
        <v>Turns</v>
      </c>
      <c r="J55" s="132" t="str">
        <f>References!$G$11</f>
        <v>%</v>
      </c>
      <c r="K55" s="155"/>
      <c r="L55" s="149"/>
      <c r="M55" s="18"/>
      <c r="N55" s="133" t="str">
        <f>References!$G$2</f>
        <v>Type</v>
      </c>
      <c r="O55" s="135" t="str">
        <f>References!$G$3</f>
        <v>Stat</v>
      </c>
      <c r="P55" s="133" t="str">
        <f>References!$G$4</f>
        <v>Nb</v>
      </c>
      <c r="Q55" s="131" t="str">
        <f>References!$G$5</f>
        <v>Turns</v>
      </c>
      <c r="R55" s="132" t="str">
        <f>References!$G$6</f>
        <v>%</v>
      </c>
      <c r="S55" s="146" t="str">
        <f>References!$G$7</f>
        <v>Nb</v>
      </c>
      <c r="T55" s="147" t="str">
        <f>References!$G$8</f>
        <v>Turns</v>
      </c>
      <c r="U55" s="133" t="str">
        <f>References!$G$9</f>
        <v>Nb</v>
      </c>
      <c r="V55" s="131" t="str">
        <f>References!$G$10</f>
        <v>Turns</v>
      </c>
      <c r="W55" s="132" t="str">
        <f>References!$G$11</f>
        <v>%</v>
      </c>
      <c r="X55" s="155"/>
      <c r="Y55" s="149"/>
      <c r="Z55" s="18"/>
      <c r="AA55" s="133" t="str">
        <f>References!$G$2</f>
        <v>Type</v>
      </c>
      <c r="AB55" s="135" t="str">
        <f>References!$G$3</f>
        <v>Stat</v>
      </c>
      <c r="AC55" s="133" t="str">
        <f>References!$G$4</f>
        <v>Nb</v>
      </c>
      <c r="AD55" s="131" t="str">
        <f>References!$G$5</f>
        <v>Turns</v>
      </c>
      <c r="AE55" s="132" t="str">
        <f>References!$G$6</f>
        <v>%</v>
      </c>
      <c r="AF55" s="146" t="str">
        <f>References!$G$7</f>
        <v>Nb</v>
      </c>
      <c r="AG55" s="147" t="str">
        <f>References!$G$8</f>
        <v>Turns</v>
      </c>
      <c r="AH55" s="133" t="str">
        <f>References!$G$9</f>
        <v>Nb</v>
      </c>
      <c r="AI55" s="131" t="str">
        <f>References!$G$10</f>
        <v>Turns</v>
      </c>
      <c r="AJ55" s="132" t="str">
        <f>References!$G$11</f>
        <v>%</v>
      </c>
    </row>
    <row r="56" spans="1:36" ht="15.75" thickBot="1" x14ac:dyDescent="0.3">
      <c r="A56" s="134"/>
      <c r="B56" s="136"/>
      <c r="C56" s="248" t="str">
        <f>References!$H$2</f>
        <v>High initiative</v>
      </c>
      <c r="D56" s="249"/>
      <c r="E56" s="250"/>
      <c r="F56" s="251" t="str">
        <f>References!$H$3</f>
        <v>Standard</v>
      </c>
      <c r="G56" s="252"/>
      <c r="H56" s="253" t="str">
        <f>References!$H$4</f>
        <v>Low initiative</v>
      </c>
      <c r="I56" s="254"/>
      <c r="J56" s="255"/>
      <c r="K56" s="158"/>
      <c r="L56" s="168"/>
      <c r="M56" s="18"/>
      <c r="N56" s="137"/>
      <c r="O56" s="138"/>
      <c r="P56" s="240" t="str">
        <f>References!$H$2</f>
        <v>High initiative</v>
      </c>
      <c r="Q56" s="241"/>
      <c r="R56" s="242"/>
      <c r="S56" s="243" t="str">
        <f>References!$H$3</f>
        <v>Standard</v>
      </c>
      <c r="T56" s="244"/>
      <c r="U56" s="245" t="str">
        <f>References!$H$4</f>
        <v>Low initiative</v>
      </c>
      <c r="V56" s="246"/>
      <c r="W56" s="247"/>
      <c r="X56" s="158"/>
      <c r="Y56" s="168"/>
      <c r="Z56" s="18"/>
      <c r="AA56" s="137"/>
      <c r="AB56" s="138"/>
      <c r="AC56" s="240" t="str">
        <f>References!$H$2</f>
        <v>High initiative</v>
      </c>
      <c r="AD56" s="241"/>
      <c r="AE56" s="242"/>
      <c r="AF56" s="243" t="str">
        <f>References!$H$3</f>
        <v>Standard</v>
      </c>
      <c r="AG56" s="244"/>
      <c r="AH56" s="245" t="str">
        <f>References!$H$4</f>
        <v>Low initiative</v>
      </c>
      <c r="AI56" s="246"/>
      <c r="AJ56" s="247"/>
    </row>
    <row r="57" spans="1:36" ht="16.5" thickBot="1" x14ac:dyDescent="0.3">
      <c r="A57" s="129" t="str">
        <f>References!$C$2</f>
        <v>Direct</v>
      </c>
      <c r="B57" s="143" t="str">
        <f>References!$A$2</f>
        <v>dmg</v>
      </c>
      <c r="C57" s="129">
        <v>8</v>
      </c>
      <c r="D57" s="175"/>
      <c r="E57" s="140">
        <v>100</v>
      </c>
      <c r="F57" s="141">
        <v>10</v>
      </c>
      <c r="G57" s="175"/>
      <c r="H57" s="129">
        <v>12</v>
      </c>
      <c r="I57" s="175"/>
      <c r="J57" s="140">
        <f>(1/3)*100</f>
        <v>33.333333333333329</v>
      </c>
      <c r="K57" s="154"/>
      <c r="L57" s="162"/>
      <c r="M57" s="18"/>
      <c r="N57" s="127" t="str">
        <f>References!$C$2</f>
        <v>Direct</v>
      </c>
      <c r="O57" s="143" t="str">
        <f>References!$A$2</f>
        <v>dmg</v>
      </c>
      <c r="P57" s="127">
        <v>1</v>
      </c>
      <c r="Q57" s="145"/>
      <c r="R57" s="128">
        <v>100</v>
      </c>
      <c r="S57" s="144">
        <v>2</v>
      </c>
      <c r="T57" s="145"/>
      <c r="U57" s="127">
        <v>3</v>
      </c>
      <c r="V57" s="145"/>
      <c r="W57" s="128">
        <v>100</v>
      </c>
      <c r="X57" s="154"/>
      <c r="Y57" s="162"/>
      <c r="Z57" s="18"/>
      <c r="AA57" s="127" t="str">
        <f>References!$C$2</f>
        <v>Direct</v>
      </c>
      <c r="AB57" s="143" t="str">
        <f>References!$A$3</f>
        <v>hp</v>
      </c>
      <c r="AC57" s="127">
        <v>1</v>
      </c>
      <c r="AD57" s="145"/>
      <c r="AE57" s="128">
        <v>100</v>
      </c>
      <c r="AF57" s="144">
        <v>2</v>
      </c>
      <c r="AG57" s="145"/>
      <c r="AH57" s="127">
        <v>3</v>
      </c>
      <c r="AI57" s="145"/>
      <c r="AJ57" s="128">
        <v>100</v>
      </c>
    </row>
    <row r="58" spans="1:36" ht="16.5" thickBot="1" x14ac:dyDescent="0.3">
      <c r="K58" s="154"/>
      <c r="L58" s="162"/>
      <c r="M58" s="18"/>
      <c r="N58" s="127" t="str">
        <f>References!$C$2</f>
        <v>Direct</v>
      </c>
      <c r="O58" s="143" t="str">
        <f>References!$A$4</f>
        <v>enrg</v>
      </c>
      <c r="P58" s="129">
        <v>1</v>
      </c>
      <c r="Q58" s="145"/>
      <c r="R58" s="128">
        <v>100</v>
      </c>
      <c r="S58" s="141">
        <v>1</v>
      </c>
      <c r="T58" s="145"/>
      <c r="U58" s="129">
        <v>2</v>
      </c>
      <c r="V58" s="145"/>
      <c r="W58" s="140">
        <f>(1/3)*100</f>
        <v>33.333333333333329</v>
      </c>
      <c r="X58" s="154"/>
      <c r="Y58" s="162"/>
      <c r="Z58" s="18"/>
      <c r="AA58" s="127" t="str">
        <f>References!$C$2</f>
        <v>Direct</v>
      </c>
      <c r="AB58" s="143" t="str">
        <f>References!$A$4</f>
        <v>enrg</v>
      </c>
      <c r="AC58" s="129">
        <v>1</v>
      </c>
      <c r="AD58" s="145"/>
      <c r="AE58" s="128">
        <v>100</v>
      </c>
      <c r="AF58" s="141">
        <v>1</v>
      </c>
      <c r="AG58" s="145"/>
      <c r="AH58" s="129">
        <v>2</v>
      </c>
      <c r="AI58" s="145"/>
      <c r="AJ58" s="128">
        <v>50</v>
      </c>
    </row>
    <row r="59" spans="1:36" x14ac:dyDescent="0.25">
      <c r="L59" s="167"/>
      <c r="Y59" s="163"/>
    </row>
    <row r="60" spans="1:36" x14ac:dyDescent="0.25">
      <c r="L60" s="167"/>
      <c r="Y60" s="163"/>
    </row>
  </sheetData>
  <mergeCells count="144">
    <mergeCell ref="AC56:AE56"/>
    <mergeCell ref="AF56:AG56"/>
    <mergeCell ref="AH56:AJ56"/>
    <mergeCell ref="C56:E56"/>
    <mergeCell ref="F56:G56"/>
    <mergeCell ref="H56:J56"/>
    <mergeCell ref="P56:R56"/>
    <mergeCell ref="S56:T56"/>
    <mergeCell ref="U56:W56"/>
    <mergeCell ref="E53:F53"/>
    <mergeCell ref="G53:H53"/>
    <mergeCell ref="R53:S53"/>
    <mergeCell ref="T53:U53"/>
    <mergeCell ref="AE53:AF53"/>
    <mergeCell ref="AG53:AH53"/>
    <mergeCell ref="E52:F52"/>
    <mergeCell ref="G52:H52"/>
    <mergeCell ref="R52:S52"/>
    <mergeCell ref="T52:U52"/>
    <mergeCell ref="AE52:AF52"/>
    <mergeCell ref="AG52:AH52"/>
    <mergeCell ref="E51:F51"/>
    <mergeCell ref="G51:H51"/>
    <mergeCell ref="R51:S51"/>
    <mergeCell ref="T51:U51"/>
    <mergeCell ref="AE51:AF51"/>
    <mergeCell ref="AG51:AH51"/>
    <mergeCell ref="E50:F50"/>
    <mergeCell ref="G50:H50"/>
    <mergeCell ref="R50:S50"/>
    <mergeCell ref="T50:U50"/>
    <mergeCell ref="AE50:AF50"/>
    <mergeCell ref="AG50:AH50"/>
    <mergeCell ref="AC42:AE42"/>
    <mergeCell ref="AF42:AG42"/>
    <mergeCell ref="AH42:AJ42"/>
    <mergeCell ref="E49:F49"/>
    <mergeCell ref="G49:H49"/>
    <mergeCell ref="R49:S49"/>
    <mergeCell ref="T49:U49"/>
    <mergeCell ref="AE49:AF49"/>
    <mergeCell ref="AG49:AH49"/>
    <mergeCell ref="C42:E42"/>
    <mergeCell ref="F42:G42"/>
    <mergeCell ref="H42:J42"/>
    <mergeCell ref="P42:R42"/>
    <mergeCell ref="S42:T42"/>
    <mergeCell ref="U42:W42"/>
    <mergeCell ref="E39:F39"/>
    <mergeCell ref="G39:H39"/>
    <mergeCell ref="R39:S39"/>
    <mergeCell ref="T39:U39"/>
    <mergeCell ref="AE39:AF39"/>
    <mergeCell ref="AG39:AH39"/>
    <mergeCell ref="E38:F38"/>
    <mergeCell ref="G38:H38"/>
    <mergeCell ref="R38:S38"/>
    <mergeCell ref="T38:U38"/>
    <mergeCell ref="AE38:AF38"/>
    <mergeCell ref="AG38:AH38"/>
    <mergeCell ref="E37:F37"/>
    <mergeCell ref="G37:H37"/>
    <mergeCell ref="R37:S37"/>
    <mergeCell ref="T37:U37"/>
    <mergeCell ref="AE37:AF37"/>
    <mergeCell ref="AG37:AH37"/>
    <mergeCell ref="E36:F36"/>
    <mergeCell ref="G36:H36"/>
    <mergeCell ref="R36:S36"/>
    <mergeCell ref="T36:U36"/>
    <mergeCell ref="AE36:AF36"/>
    <mergeCell ref="AG36:AH36"/>
    <mergeCell ref="AC26:AE26"/>
    <mergeCell ref="AF26:AG26"/>
    <mergeCell ref="AH26:AJ26"/>
    <mergeCell ref="E35:F35"/>
    <mergeCell ref="G35:H35"/>
    <mergeCell ref="R35:S35"/>
    <mergeCell ref="T35:U35"/>
    <mergeCell ref="AE35:AF35"/>
    <mergeCell ref="AG35:AH35"/>
    <mergeCell ref="C26:E26"/>
    <mergeCell ref="F26:G26"/>
    <mergeCell ref="H26:J26"/>
    <mergeCell ref="P26:R26"/>
    <mergeCell ref="S26:T26"/>
    <mergeCell ref="U26:W26"/>
    <mergeCell ref="E23:F23"/>
    <mergeCell ref="G23:H23"/>
    <mergeCell ref="R23:S23"/>
    <mergeCell ref="T23:U23"/>
    <mergeCell ref="AE23:AF23"/>
    <mergeCell ref="AG23:AH23"/>
    <mergeCell ref="E22:F22"/>
    <mergeCell ref="G22:H22"/>
    <mergeCell ref="R22:S22"/>
    <mergeCell ref="T22:U22"/>
    <mergeCell ref="AE22:AF22"/>
    <mergeCell ref="AG22:AH22"/>
    <mergeCell ref="E21:F21"/>
    <mergeCell ref="G21:H21"/>
    <mergeCell ref="R21:S21"/>
    <mergeCell ref="T21:U21"/>
    <mergeCell ref="AE21:AF21"/>
    <mergeCell ref="AG21:AH21"/>
    <mergeCell ref="E20:F20"/>
    <mergeCell ref="G20:H20"/>
    <mergeCell ref="R20:S20"/>
    <mergeCell ref="T20:U20"/>
    <mergeCell ref="AE20:AF20"/>
    <mergeCell ref="AG20:AH20"/>
    <mergeCell ref="E19:F19"/>
    <mergeCell ref="G19:H19"/>
    <mergeCell ref="R19:S19"/>
    <mergeCell ref="T19:U19"/>
    <mergeCell ref="AE19:AF19"/>
    <mergeCell ref="AG19:AH19"/>
    <mergeCell ref="E7:F7"/>
    <mergeCell ref="G7:H7"/>
    <mergeCell ref="R7:S7"/>
    <mergeCell ref="T7:U7"/>
    <mergeCell ref="C10:E10"/>
    <mergeCell ref="F10:G10"/>
    <mergeCell ref="H10:J10"/>
    <mergeCell ref="P10:R10"/>
    <mergeCell ref="S10:T10"/>
    <mergeCell ref="U10:W10"/>
    <mergeCell ref="E5:F5"/>
    <mergeCell ref="G5:H5"/>
    <mergeCell ref="R5:S5"/>
    <mergeCell ref="T5:U5"/>
    <mergeCell ref="E6:F6"/>
    <mergeCell ref="G6:H6"/>
    <mergeCell ref="R6:S6"/>
    <mergeCell ref="T6:U6"/>
    <mergeCell ref="A1:AJ1"/>
    <mergeCell ref="E3:F3"/>
    <mergeCell ref="G3:H3"/>
    <mergeCell ref="R3:S3"/>
    <mergeCell ref="T3:U3"/>
    <mergeCell ref="E4:F4"/>
    <mergeCell ref="G4:H4"/>
    <mergeCell ref="R4:S4"/>
    <mergeCell ref="T4:U4"/>
  </mergeCells>
  <printOptions horizontalCentered="1" verticalCentered="1"/>
  <pageMargins left="7.874015748031496E-2" right="7.874015748031496E-2" top="7.874015748031496E-2" bottom="0" header="0" footer="7.874015748031496E-2"/>
  <pageSetup scale="64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45350-07B5-46B5-AC11-E2B6946BC06F}">
  <dimension ref="A1:AD116"/>
  <sheetViews>
    <sheetView workbookViewId="0">
      <selection activeCell="AA4" sqref="AA4"/>
    </sheetView>
  </sheetViews>
  <sheetFormatPr defaultRowHeight="15" x14ac:dyDescent="0.25"/>
  <cols>
    <col min="1" max="1" width="18.7109375" bestFit="1" customWidth="1"/>
    <col min="2" max="2" width="2" bestFit="1" customWidth="1"/>
    <col min="3" max="3" width="2.85546875" customWidth="1"/>
    <col min="4" max="4" width="9.42578125" bestFit="1" customWidth="1"/>
    <col min="5" max="5" width="4.85546875" bestFit="1" customWidth="1"/>
    <col min="6" max="6" width="3.7109375" bestFit="1" customWidth="1"/>
    <col min="7" max="7" width="3" bestFit="1" customWidth="1"/>
    <col min="8" max="8" width="2" customWidth="1"/>
    <col min="9" max="10" width="3" bestFit="1" customWidth="1"/>
    <col min="11" max="11" width="4" bestFit="1" customWidth="1"/>
    <col min="12" max="12" width="1.85546875" customWidth="1"/>
    <col min="13" max="13" width="3" bestFit="1" customWidth="1"/>
    <col min="14" max="15" width="4" bestFit="1" customWidth="1"/>
    <col min="16" max="16" width="1.7109375" customWidth="1"/>
    <col min="18" max="18" width="8.7109375" bestFit="1" customWidth="1"/>
    <col min="19" max="20" width="8.42578125" bestFit="1" customWidth="1"/>
    <col min="21" max="22" width="12" bestFit="1" customWidth="1"/>
    <col min="23" max="23" width="15.28515625" bestFit="1" customWidth="1"/>
    <col min="24" max="24" width="24.28515625" bestFit="1" customWidth="1"/>
    <col min="25" max="25" width="16.42578125" bestFit="1" customWidth="1"/>
    <col min="26" max="26" width="28.42578125" bestFit="1" customWidth="1"/>
    <col min="27" max="27" width="12" bestFit="1" customWidth="1"/>
    <col min="28" max="28" width="12" customWidth="1"/>
    <col min="29" max="29" width="15.28515625" bestFit="1" customWidth="1"/>
    <col min="30" max="30" width="14.5703125" bestFit="1" customWidth="1"/>
  </cols>
  <sheetData>
    <row r="1" spans="1:30" ht="15.75" thickBot="1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Q1">
        <v>10</v>
      </c>
      <c r="R1" t="s">
        <v>54</v>
      </c>
      <c r="S1" t="s">
        <v>55</v>
      </c>
      <c r="T1" t="s">
        <v>56</v>
      </c>
      <c r="U1" t="s">
        <v>60</v>
      </c>
      <c r="V1" t="s">
        <v>57</v>
      </c>
      <c r="W1" t="s">
        <v>58</v>
      </c>
      <c r="X1" t="s">
        <v>61</v>
      </c>
      <c r="Y1" t="s">
        <v>59</v>
      </c>
      <c r="Z1" t="s">
        <v>62</v>
      </c>
      <c r="AA1" t="s">
        <v>63</v>
      </c>
      <c r="AB1" t="s">
        <v>64</v>
      </c>
      <c r="AC1" t="s">
        <v>66</v>
      </c>
      <c r="AD1" t="s">
        <v>65</v>
      </c>
    </row>
    <row r="2" spans="1:30" ht="15.75" thickBot="1" x14ac:dyDescent="0.3">
      <c r="A2" s="7" t="s">
        <v>4</v>
      </c>
      <c r="B2" s="8">
        <v>0</v>
      </c>
      <c r="C2" s="8"/>
      <c r="D2" s="8"/>
      <c r="E2" s="8"/>
      <c r="F2" s="8" t="s">
        <v>2</v>
      </c>
      <c r="G2" s="8" t="s">
        <v>2</v>
      </c>
      <c r="H2" s="14"/>
      <c r="I2" s="8" t="s">
        <v>2</v>
      </c>
      <c r="J2" s="8" t="s">
        <v>2</v>
      </c>
      <c r="K2" s="8" t="s">
        <v>2</v>
      </c>
      <c r="L2" s="14"/>
      <c r="M2" s="7" t="s">
        <v>2</v>
      </c>
      <c r="N2" s="9" t="s">
        <v>2</v>
      </c>
      <c r="O2" s="8" t="s">
        <v>2</v>
      </c>
    </row>
    <row r="3" spans="1:30" ht="15.75" thickBot="1" x14ac:dyDescent="0.3">
      <c r="A3" s="7" t="s">
        <v>0</v>
      </c>
      <c r="B3" s="8">
        <v>1</v>
      </c>
      <c r="C3" s="8"/>
      <c r="D3" s="8" t="s">
        <v>10</v>
      </c>
      <c r="E3" s="8" t="s">
        <v>46</v>
      </c>
      <c r="F3" s="8">
        <v>1</v>
      </c>
      <c r="G3" s="8">
        <v>1</v>
      </c>
      <c r="H3" s="14"/>
      <c r="I3" s="8">
        <v>1</v>
      </c>
      <c r="J3" s="8">
        <v>1</v>
      </c>
      <c r="K3" s="8">
        <v>1</v>
      </c>
      <c r="L3" s="14"/>
      <c r="M3" s="7">
        <v>2</v>
      </c>
      <c r="N3" s="9">
        <v>1</v>
      </c>
      <c r="O3" s="8">
        <v>1</v>
      </c>
      <c r="P3" s="8"/>
      <c r="Q3" s="8">
        <f>_xlfn.FLOOR.MATH($Q$1/IF(B3=1,2,B3))</f>
        <v>5</v>
      </c>
      <c r="R3" s="8">
        <f t="shared" ref="R3:R11" si="0">(F3*G3)</f>
        <v>1</v>
      </c>
      <c r="S3" s="8">
        <f t="shared" ref="S3:S11" si="1">(I3+((F3-I3)*(1-K3)))*J3</f>
        <v>1</v>
      </c>
      <c r="T3" s="8">
        <f t="shared" ref="T3:T11" si="2">(F3+((M3-F3)*(O3)))*N3</f>
        <v>2</v>
      </c>
      <c r="U3" s="8">
        <f>(R3+S3+T3)/3</f>
        <v>1.3333333333333333</v>
      </c>
      <c r="V3" s="8">
        <f t="shared" ref="V3:V11" si="3">U3/B3</f>
        <v>1.3333333333333333</v>
      </c>
      <c r="W3" s="8">
        <f>U3*Q3</f>
        <v>6.6666666666666661</v>
      </c>
      <c r="X3" s="8">
        <f>V3*Q3</f>
        <v>6.6666666666666661</v>
      </c>
      <c r="Y3" s="8">
        <f>IF(B3=1,5,MOD($Q$1,Q3))</f>
        <v>5</v>
      </c>
      <c r="Z3" s="8">
        <f>((X3/$Q$1)*Y3)+X3</f>
        <v>10</v>
      </c>
      <c r="AA3" s="8">
        <f>((W3/20)+1)</f>
        <v>1.3333333333333333</v>
      </c>
      <c r="AB3" s="8">
        <f>AA3^Z3</f>
        <v>17.757726633812592</v>
      </c>
      <c r="AC3" s="8">
        <f>Z3^AA3</f>
        <v>21.544346900318843</v>
      </c>
      <c r="AD3" s="8">
        <f>(AB3+AC3)/2</f>
        <v>19.651036767065719</v>
      </c>
    </row>
    <row r="4" spans="1:30" ht="15.75" thickBot="1" x14ac:dyDescent="0.3">
      <c r="A4" s="7" t="s">
        <v>3</v>
      </c>
      <c r="B4" s="8">
        <v>2</v>
      </c>
      <c r="C4" s="8"/>
      <c r="D4" s="8" t="s">
        <v>10</v>
      </c>
      <c r="E4" s="8" t="s">
        <v>46</v>
      </c>
      <c r="F4" s="8">
        <v>3</v>
      </c>
      <c r="G4" s="8">
        <v>1</v>
      </c>
      <c r="H4" s="14"/>
      <c r="I4" s="8">
        <v>2</v>
      </c>
      <c r="J4" s="8">
        <v>1</v>
      </c>
      <c r="K4" s="8">
        <v>1</v>
      </c>
      <c r="L4" s="14"/>
      <c r="M4" s="7">
        <v>3</v>
      </c>
      <c r="N4" s="9">
        <v>1</v>
      </c>
      <c r="O4" s="8">
        <v>1</v>
      </c>
      <c r="P4" s="8"/>
      <c r="Q4" s="8">
        <f t="shared" ref="Q4:Q11" si="4">_xlfn.FLOOR.MATH($Q$1/IF(B4=1,2,B4))</f>
        <v>5</v>
      </c>
      <c r="R4" s="8">
        <f t="shared" si="0"/>
        <v>3</v>
      </c>
      <c r="S4" s="8">
        <f t="shared" si="1"/>
        <v>2</v>
      </c>
      <c r="T4" s="8">
        <f t="shared" si="2"/>
        <v>3</v>
      </c>
      <c r="U4" s="8">
        <f t="shared" ref="U4:U62" si="5">(R4+S4+T4)/3</f>
        <v>2.6666666666666665</v>
      </c>
      <c r="V4" s="8">
        <f t="shared" si="3"/>
        <v>1.3333333333333333</v>
      </c>
      <c r="W4" s="8">
        <f>U4*Q4</f>
        <v>13.333333333333332</v>
      </c>
      <c r="X4" s="8">
        <f>V4*Q4</f>
        <v>6.6666666666666661</v>
      </c>
      <c r="Y4" s="8">
        <f>IF(B4=1,5,MOD($Q$1,Q4))</f>
        <v>0</v>
      </c>
      <c r="Z4" s="8">
        <f>((X4/$Q$1)*Y4)+X4</f>
        <v>6.6666666666666661</v>
      </c>
      <c r="AA4" s="8">
        <f>((W4/20)+1)</f>
        <v>1.6666666666666665</v>
      </c>
      <c r="AB4" s="8">
        <f>AA4^Z4</f>
        <v>30.129481928074586</v>
      </c>
      <c r="AC4" s="8">
        <f>Z4^AA4</f>
        <v>23.614634870724686</v>
      </c>
      <c r="AD4" s="8">
        <f>(AB4+AC4)/2</f>
        <v>26.872058399399634</v>
      </c>
    </row>
    <row r="5" spans="1:30" ht="15.75" thickBot="1" x14ac:dyDescent="0.3">
      <c r="A5" s="25" t="s">
        <v>5</v>
      </c>
      <c r="B5" s="26">
        <v>1</v>
      </c>
      <c r="C5" s="26"/>
      <c r="D5" s="26" t="s">
        <v>10</v>
      </c>
      <c r="E5" s="26" t="s">
        <v>46</v>
      </c>
      <c r="F5" s="26">
        <v>2</v>
      </c>
      <c r="G5" s="26">
        <v>1</v>
      </c>
      <c r="H5" s="14">
        <v>2</v>
      </c>
      <c r="I5" s="26">
        <v>1</v>
      </c>
      <c r="J5" s="26">
        <v>1</v>
      </c>
      <c r="K5" s="26">
        <v>1</v>
      </c>
      <c r="L5" s="14"/>
      <c r="M5" s="25">
        <v>2</v>
      </c>
      <c r="N5" s="27">
        <v>1</v>
      </c>
      <c r="O5" s="26">
        <v>1</v>
      </c>
      <c r="P5" s="8"/>
      <c r="Q5" s="8">
        <f t="shared" si="4"/>
        <v>5</v>
      </c>
      <c r="R5" s="8">
        <f t="shared" si="0"/>
        <v>2</v>
      </c>
      <c r="S5" s="8">
        <f t="shared" si="1"/>
        <v>1</v>
      </c>
      <c r="T5" s="8">
        <f t="shared" si="2"/>
        <v>2</v>
      </c>
      <c r="U5" s="8">
        <f t="shared" si="5"/>
        <v>1.6666666666666667</v>
      </c>
      <c r="V5" s="8">
        <f t="shared" si="3"/>
        <v>1.6666666666666667</v>
      </c>
      <c r="W5" s="8">
        <f>U5*Q5</f>
        <v>8.3333333333333339</v>
      </c>
      <c r="X5" s="8">
        <f>V5*Q5</f>
        <v>8.3333333333333339</v>
      </c>
      <c r="Y5" s="8">
        <f>IF(B5=1,5,MOD($Q$1,Q5))</f>
        <v>5</v>
      </c>
      <c r="Z5" s="8">
        <f>((X5/$Q$1)*Y5)+X5</f>
        <v>12.5</v>
      </c>
      <c r="AA5" s="8">
        <f>((W5/20)+1)</f>
        <v>1.4166666666666667</v>
      </c>
      <c r="AB5" s="8">
        <f>AA5^Z5</f>
        <v>77.776060513609053</v>
      </c>
      <c r="AC5" s="8">
        <f>Z5^AA5</f>
        <v>35.806003663226619</v>
      </c>
      <c r="AD5" s="8">
        <f>(AB5+AC5)/2</f>
        <v>56.791032088417836</v>
      </c>
    </row>
    <row r="6" spans="1:30" x14ac:dyDescent="0.25">
      <c r="A6" s="28" t="s">
        <v>6</v>
      </c>
      <c r="B6" s="29">
        <v>2</v>
      </c>
      <c r="C6" s="29"/>
      <c r="D6" s="29" t="s">
        <v>10</v>
      </c>
      <c r="E6" s="29" t="s">
        <v>47</v>
      </c>
      <c r="F6" s="29">
        <v>1</v>
      </c>
      <c r="G6" s="29">
        <v>1</v>
      </c>
      <c r="H6" s="15"/>
      <c r="I6" s="29">
        <v>1</v>
      </c>
      <c r="J6" s="29">
        <v>1</v>
      </c>
      <c r="K6" s="29">
        <v>1</v>
      </c>
      <c r="L6" s="15"/>
      <c r="M6" s="28">
        <v>1</v>
      </c>
      <c r="N6" s="30">
        <v>1</v>
      </c>
      <c r="O6" s="29">
        <v>1</v>
      </c>
      <c r="P6" s="2"/>
      <c r="Q6" s="2">
        <f t="shared" si="4"/>
        <v>5</v>
      </c>
      <c r="R6" s="2">
        <f t="shared" si="0"/>
        <v>1</v>
      </c>
      <c r="S6" s="2">
        <f t="shared" si="1"/>
        <v>1</v>
      </c>
      <c r="T6" s="2">
        <f t="shared" si="2"/>
        <v>1</v>
      </c>
      <c r="U6" s="2">
        <f t="shared" si="5"/>
        <v>1</v>
      </c>
      <c r="V6" s="2">
        <f t="shared" si="3"/>
        <v>0.5</v>
      </c>
      <c r="W6" s="2">
        <f>(U6+U7)*Q6</f>
        <v>15</v>
      </c>
      <c r="X6" s="2">
        <f>(V6+V7)*Q6</f>
        <v>7.5</v>
      </c>
      <c r="Y6" s="2">
        <f>IF(B6=1,5,MOD($Q$1,Q6))</f>
        <v>0</v>
      </c>
      <c r="Z6" s="2">
        <f>((X6/$Q$1)*Y6)+X6</f>
        <v>7.5</v>
      </c>
      <c r="AA6" s="2">
        <f>((W6/20)+1)</f>
        <v>1.75</v>
      </c>
      <c r="AB6" s="2">
        <f>AA6^Z6</f>
        <v>66.494444945314498</v>
      </c>
      <c r="AC6" s="2">
        <f>Z6^AA6</f>
        <v>33.990473220263631</v>
      </c>
      <c r="AD6" s="2">
        <f>(AB6+AC6)/2</f>
        <v>50.242459082789068</v>
      </c>
    </row>
    <row r="7" spans="1:30" ht="15.75" thickBot="1" x14ac:dyDescent="0.3">
      <c r="A7" s="96"/>
      <c r="B7" s="93">
        <v>2</v>
      </c>
      <c r="C7" s="93"/>
      <c r="D7" s="93" t="s">
        <v>11</v>
      </c>
      <c r="E7" s="93" t="s">
        <v>47</v>
      </c>
      <c r="F7" s="93">
        <v>1</v>
      </c>
      <c r="G7" s="93">
        <v>2</v>
      </c>
      <c r="H7" s="17"/>
      <c r="I7" s="93">
        <v>1</v>
      </c>
      <c r="J7" s="93">
        <v>1</v>
      </c>
      <c r="K7" s="93">
        <v>1</v>
      </c>
      <c r="L7" s="17"/>
      <c r="M7" s="96">
        <v>1</v>
      </c>
      <c r="N7" s="97">
        <v>3</v>
      </c>
      <c r="O7" s="93">
        <v>1</v>
      </c>
      <c r="P7" s="5"/>
      <c r="Q7" s="5">
        <f t="shared" si="4"/>
        <v>5</v>
      </c>
      <c r="R7" s="5">
        <f t="shared" si="0"/>
        <v>2</v>
      </c>
      <c r="S7" s="5">
        <f t="shared" si="1"/>
        <v>1</v>
      </c>
      <c r="T7" s="5">
        <f t="shared" si="2"/>
        <v>3</v>
      </c>
      <c r="U7" s="5">
        <f t="shared" si="5"/>
        <v>2</v>
      </c>
      <c r="V7" s="5">
        <f t="shared" si="3"/>
        <v>1</v>
      </c>
      <c r="W7" s="5"/>
      <c r="X7" s="5"/>
      <c r="Y7" s="5"/>
      <c r="Z7" s="5"/>
      <c r="AA7" s="5"/>
      <c r="AB7" s="5"/>
      <c r="AC7" s="5"/>
      <c r="AD7" s="5"/>
    </row>
    <row r="8" spans="1:30" ht="15.75" thickBot="1" x14ac:dyDescent="0.3">
      <c r="A8" s="31" t="s">
        <v>7</v>
      </c>
      <c r="B8" s="32">
        <v>2</v>
      </c>
      <c r="C8" s="32"/>
      <c r="D8" s="32" t="s">
        <v>10</v>
      </c>
      <c r="E8" s="32" t="s">
        <v>46</v>
      </c>
      <c r="F8" s="32">
        <v>3</v>
      </c>
      <c r="G8" s="32">
        <v>1</v>
      </c>
      <c r="H8" s="14"/>
      <c r="I8" s="32">
        <v>2</v>
      </c>
      <c r="J8" s="32">
        <v>1</v>
      </c>
      <c r="K8" s="32">
        <v>0.33</v>
      </c>
      <c r="L8" s="14"/>
      <c r="M8" s="31">
        <v>4</v>
      </c>
      <c r="N8" s="33">
        <v>1</v>
      </c>
      <c r="O8" s="32">
        <v>0.66</v>
      </c>
      <c r="P8" s="8"/>
      <c r="Q8" s="8">
        <f t="shared" si="4"/>
        <v>5</v>
      </c>
      <c r="R8" s="8">
        <f t="shared" si="0"/>
        <v>3</v>
      </c>
      <c r="S8" s="8">
        <f t="shared" si="1"/>
        <v>2.67</v>
      </c>
      <c r="T8" s="8">
        <f t="shared" si="2"/>
        <v>3.66</v>
      </c>
      <c r="U8" s="8">
        <f>(R8+S8+T8)/3</f>
        <v>3.11</v>
      </c>
      <c r="V8" s="8">
        <f t="shared" si="3"/>
        <v>1.5549999999999999</v>
      </c>
      <c r="W8" s="8">
        <f>U8*Q8</f>
        <v>15.549999999999999</v>
      </c>
      <c r="X8" s="8">
        <f>V8*Q8</f>
        <v>7.7749999999999995</v>
      </c>
      <c r="Y8" s="8">
        <f>IF(B8=1,5,MOD($Q$1,Q8))</f>
        <v>0</v>
      </c>
      <c r="Z8" s="8">
        <f>((X8/$Q$1)*Y8)+X8</f>
        <v>7.7749999999999995</v>
      </c>
      <c r="AA8" s="8">
        <f>((W8/20)+1)</f>
        <v>1.7774999999999999</v>
      </c>
      <c r="AB8" s="8">
        <f>AA8^Z8</f>
        <v>87.552734161234213</v>
      </c>
      <c r="AC8" s="8">
        <f>Z8^AA8</f>
        <v>38.301868148146625</v>
      </c>
      <c r="AD8" s="8">
        <f>(AB8+AC8)/2</f>
        <v>62.927301154690419</v>
      </c>
    </row>
    <row r="9" spans="1:30" ht="15.75" thickBot="1" x14ac:dyDescent="0.3">
      <c r="A9" s="98" t="s">
        <v>8</v>
      </c>
      <c r="B9" s="99">
        <v>3</v>
      </c>
      <c r="C9" s="99"/>
      <c r="D9" s="99" t="s">
        <v>10</v>
      </c>
      <c r="E9" s="99" t="s">
        <v>49</v>
      </c>
      <c r="F9" s="99">
        <v>6</v>
      </c>
      <c r="G9" s="99">
        <v>1</v>
      </c>
      <c r="H9" s="15"/>
      <c r="I9" s="99">
        <v>5</v>
      </c>
      <c r="J9" s="99">
        <v>1</v>
      </c>
      <c r="K9" s="99">
        <v>0.5</v>
      </c>
      <c r="L9" s="15"/>
      <c r="M9" s="98">
        <v>8</v>
      </c>
      <c r="N9" s="100">
        <v>1</v>
      </c>
      <c r="O9" s="99">
        <v>0.33</v>
      </c>
      <c r="P9" s="8"/>
      <c r="Q9" s="8">
        <f t="shared" si="4"/>
        <v>3</v>
      </c>
      <c r="R9" s="8">
        <f t="shared" si="0"/>
        <v>6</v>
      </c>
      <c r="S9" s="8">
        <f t="shared" si="1"/>
        <v>5.5</v>
      </c>
      <c r="T9" s="8">
        <f t="shared" si="2"/>
        <v>6.66</v>
      </c>
      <c r="U9" s="8">
        <f>(R9+S9+T9)/3</f>
        <v>6.0533333333333337</v>
      </c>
      <c r="V9" s="8">
        <f t="shared" si="3"/>
        <v>2.0177777777777779</v>
      </c>
      <c r="W9" s="8">
        <f>U9*Q9</f>
        <v>18.16</v>
      </c>
      <c r="X9" s="8">
        <f>V9*Q9</f>
        <v>6.0533333333333337</v>
      </c>
      <c r="Y9" s="8">
        <f>IF(B9=1,5,MOD($Q$1,Q9))</f>
        <v>1</v>
      </c>
      <c r="Z9" s="8">
        <f>((X9/$Q$1)*Y9)+X9</f>
        <v>6.658666666666667</v>
      </c>
      <c r="AA9" s="8">
        <f>((W9/20)+1)</f>
        <v>1.9079999999999999</v>
      </c>
      <c r="AB9" s="8">
        <f>AA9^Z9</f>
        <v>73.837645924437595</v>
      </c>
      <c r="AC9" s="8">
        <f>Z9^AA9</f>
        <v>37.241135982315967</v>
      </c>
      <c r="AD9" s="8">
        <f>(AB9+AC9)/2</f>
        <v>55.539390953376781</v>
      </c>
    </row>
    <row r="10" spans="1:30" x14ac:dyDescent="0.25">
      <c r="A10" s="19" t="s">
        <v>9</v>
      </c>
      <c r="B10" s="20">
        <v>3</v>
      </c>
      <c r="C10" s="20"/>
      <c r="D10" s="20" t="s">
        <v>10</v>
      </c>
      <c r="E10" s="20" t="s">
        <v>46</v>
      </c>
      <c r="F10" s="20">
        <v>2</v>
      </c>
      <c r="G10" s="20">
        <v>1</v>
      </c>
      <c r="H10" s="15"/>
      <c r="I10" s="20">
        <v>1</v>
      </c>
      <c r="J10" s="20">
        <v>1</v>
      </c>
      <c r="K10" s="20">
        <v>0.33</v>
      </c>
      <c r="L10" s="15"/>
      <c r="M10" s="19">
        <v>3</v>
      </c>
      <c r="N10" s="21">
        <v>1</v>
      </c>
      <c r="O10" s="20">
        <v>0.7</v>
      </c>
      <c r="P10" s="2"/>
      <c r="Q10" s="2">
        <f t="shared" si="4"/>
        <v>3</v>
      </c>
      <c r="R10" s="2">
        <f t="shared" si="0"/>
        <v>2</v>
      </c>
      <c r="S10" s="2">
        <f t="shared" si="1"/>
        <v>1.67</v>
      </c>
      <c r="T10" s="2">
        <f t="shared" si="2"/>
        <v>2.7</v>
      </c>
      <c r="U10" s="2">
        <f>(R10+S10+T10)/3</f>
        <v>2.1233333333333335</v>
      </c>
      <c r="V10" s="2">
        <f t="shared" si="3"/>
        <v>0.70777777777777784</v>
      </c>
      <c r="W10" s="2">
        <f>(U10+U11)*Q10</f>
        <v>17.71</v>
      </c>
      <c r="X10" s="2">
        <f>(V10+V11)*Q10</f>
        <v>5.9033333333333333</v>
      </c>
      <c r="Y10" s="2">
        <f>IF(B10=1,5,MOD($Q$1,Q10))</f>
        <v>1</v>
      </c>
      <c r="Z10" s="2">
        <f>((X10/$Q$1)*Y10)+X10</f>
        <v>6.4936666666666669</v>
      </c>
      <c r="AA10" s="2">
        <f>((W10/20)+1)</f>
        <v>1.8855</v>
      </c>
      <c r="AB10" s="2">
        <f>AA10^Z10</f>
        <v>61.450882012817623</v>
      </c>
      <c r="AC10" s="2">
        <f>Z10^AA10</f>
        <v>34.036890635374867</v>
      </c>
      <c r="AD10" s="2">
        <f>(AB10+AC10)/2</f>
        <v>47.743886324096245</v>
      </c>
    </row>
    <row r="11" spans="1:30" ht="15.75" thickBot="1" x14ac:dyDescent="0.3">
      <c r="A11" s="22"/>
      <c r="B11" s="23">
        <v>3</v>
      </c>
      <c r="C11" s="23"/>
      <c r="D11" s="23" t="s">
        <v>11</v>
      </c>
      <c r="E11" s="23" t="s">
        <v>46</v>
      </c>
      <c r="F11" s="23">
        <v>2</v>
      </c>
      <c r="G11" s="23">
        <v>2</v>
      </c>
      <c r="H11" s="16"/>
      <c r="I11" s="23">
        <v>1</v>
      </c>
      <c r="J11" s="23">
        <v>2</v>
      </c>
      <c r="K11" s="23">
        <v>0.33</v>
      </c>
      <c r="L11" s="16"/>
      <c r="M11" s="22">
        <v>2</v>
      </c>
      <c r="N11" s="24">
        <v>2</v>
      </c>
      <c r="O11" s="23">
        <v>1</v>
      </c>
      <c r="P11" s="5"/>
      <c r="Q11" s="5">
        <f t="shared" si="4"/>
        <v>3</v>
      </c>
      <c r="R11" s="5">
        <f t="shared" si="0"/>
        <v>4</v>
      </c>
      <c r="S11" s="5">
        <f t="shared" si="1"/>
        <v>3.34</v>
      </c>
      <c r="T11" s="5">
        <f t="shared" si="2"/>
        <v>4</v>
      </c>
      <c r="U11" s="5">
        <f>(R11+S11+T11)/3</f>
        <v>3.78</v>
      </c>
      <c r="V11" s="5">
        <f t="shared" si="3"/>
        <v>1.26</v>
      </c>
      <c r="W11" s="5"/>
      <c r="X11" s="5"/>
      <c r="Y11" s="5"/>
      <c r="Z11" s="5"/>
      <c r="AA11" s="5"/>
      <c r="AB11" s="5"/>
      <c r="AC11" s="5"/>
      <c r="AD11" s="5"/>
    </row>
    <row r="12" spans="1:30" ht="15.75" thickBot="1" x14ac:dyDescent="0.3">
      <c r="A12" s="19" t="s">
        <v>12</v>
      </c>
      <c r="B12" s="23">
        <v>1</v>
      </c>
      <c r="C12" s="23"/>
      <c r="D12" s="23" t="s">
        <v>11</v>
      </c>
      <c r="E12" s="23" t="s">
        <v>51</v>
      </c>
      <c r="F12" s="23">
        <v>1</v>
      </c>
      <c r="G12" s="23">
        <v>2</v>
      </c>
      <c r="H12" s="16"/>
      <c r="I12" s="23">
        <v>1</v>
      </c>
      <c r="J12" s="23">
        <v>1</v>
      </c>
      <c r="K12" s="23">
        <v>1</v>
      </c>
      <c r="L12" s="16"/>
      <c r="M12" s="22">
        <v>1</v>
      </c>
      <c r="N12" s="24">
        <v>3</v>
      </c>
      <c r="O12" s="23">
        <v>1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x14ac:dyDescent="0.25">
      <c r="A13" s="34" t="s">
        <v>13</v>
      </c>
      <c r="B13" s="35">
        <v>3</v>
      </c>
      <c r="C13" s="35"/>
      <c r="D13" s="35" t="s">
        <v>10</v>
      </c>
      <c r="E13" s="35" t="s">
        <v>46</v>
      </c>
      <c r="F13" s="35">
        <v>4</v>
      </c>
      <c r="G13" s="35">
        <v>1</v>
      </c>
      <c r="H13" s="15"/>
      <c r="I13" s="35">
        <v>3</v>
      </c>
      <c r="J13" s="35">
        <v>1</v>
      </c>
      <c r="K13" s="35">
        <v>1</v>
      </c>
      <c r="L13" s="15"/>
      <c r="M13" s="34">
        <v>5</v>
      </c>
      <c r="N13" s="36">
        <v>1</v>
      </c>
      <c r="O13" s="35">
        <v>1</v>
      </c>
      <c r="P13" s="2"/>
      <c r="Q13" s="2">
        <f>_xlfn.FLOOR.MATH($Q$1/IF(B13=1,2,B13))</f>
        <v>3</v>
      </c>
      <c r="R13" s="2">
        <f>(F13*G13)</f>
        <v>4</v>
      </c>
      <c r="S13" s="2">
        <f>(I13+((F13-I13)*(1-K13)))*J13</f>
        <v>3</v>
      </c>
      <c r="T13" s="2">
        <f>(F13+((M13-F13)*(O13)))*N13</f>
        <v>5</v>
      </c>
      <c r="U13" s="2">
        <f t="shared" si="5"/>
        <v>4</v>
      </c>
      <c r="V13" s="2">
        <f>U13/B13</f>
        <v>1.3333333333333333</v>
      </c>
      <c r="W13" s="2">
        <f>(U13+U14+U15)*Q13</f>
        <v>19</v>
      </c>
      <c r="X13" s="2">
        <f>(V13+V14+V15)*Q13</f>
        <v>6.3333333333333321</v>
      </c>
      <c r="Y13" s="2">
        <f>IF(B13=1,5,MOD($Q$1,Q13))</f>
        <v>1</v>
      </c>
      <c r="Z13" s="2">
        <f>((X13/$Q$1)*Y13)+X13</f>
        <v>6.966666666666665</v>
      </c>
      <c r="AA13" s="2">
        <f>((W13/20)+1)</f>
        <v>1.95</v>
      </c>
      <c r="AB13" s="2">
        <f>AA13^Z13</f>
        <v>104.85145444690762</v>
      </c>
      <c r="AC13" s="2">
        <f>Z13^AA13</f>
        <v>44.045222803447757</v>
      </c>
      <c r="AD13" s="2">
        <f>(AB13+AC13)/2</f>
        <v>74.448338625177684</v>
      </c>
    </row>
    <row r="14" spans="1:30" x14ac:dyDescent="0.25">
      <c r="A14" s="37"/>
      <c r="B14" s="38">
        <v>3</v>
      </c>
      <c r="C14" s="38"/>
      <c r="D14" s="38" t="s">
        <v>10</v>
      </c>
      <c r="E14" s="38" t="s">
        <v>47</v>
      </c>
      <c r="F14" s="38">
        <v>1</v>
      </c>
      <c r="G14" s="38">
        <v>1</v>
      </c>
      <c r="H14" s="17"/>
      <c r="I14" s="38">
        <v>1</v>
      </c>
      <c r="J14" s="38">
        <v>1</v>
      </c>
      <c r="K14" s="38">
        <v>1</v>
      </c>
      <c r="L14" s="17"/>
      <c r="M14" s="37">
        <v>1</v>
      </c>
      <c r="N14" s="39">
        <v>1</v>
      </c>
      <c r="O14" s="38">
        <v>1</v>
      </c>
      <c r="P14" s="10"/>
      <c r="Q14" s="10">
        <f>_xlfn.FLOOR.MATH($Q$1/IF(B14=1,2,B14))</f>
        <v>3</v>
      </c>
      <c r="R14" s="10">
        <f>(F14*G14)</f>
        <v>1</v>
      </c>
      <c r="S14" s="10">
        <f>(I14+((F14-I14)*(1-K14)))*J14</f>
        <v>1</v>
      </c>
      <c r="T14" s="10">
        <f>(F14+((M14-F14)*(O14)))*N14</f>
        <v>1</v>
      </c>
      <c r="U14" s="10">
        <f t="shared" si="5"/>
        <v>1</v>
      </c>
      <c r="V14" s="10">
        <f>U14/B14</f>
        <v>0.33333333333333331</v>
      </c>
      <c r="W14" s="10"/>
      <c r="X14" s="10"/>
      <c r="Y14" s="10"/>
      <c r="Z14" s="10"/>
      <c r="AA14" s="10"/>
      <c r="AB14" s="10"/>
      <c r="AC14" s="10"/>
      <c r="AD14" s="10"/>
    </row>
    <row r="15" spans="1:30" ht="15.75" thickBot="1" x14ac:dyDescent="0.3">
      <c r="A15" s="40"/>
      <c r="B15" s="41">
        <v>3</v>
      </c>
      <c r="C15" s="41"/>
      <c r="D15" s="41" t="s">
        <v>44</v>
      </c>
      <c r="E15" s="41" t="s">
        <v>47</v>
      </c>
      <c r="F15" s="41">
        <v>1</v>
      </c>
      <c r="G15" s="41">
        <v>1</v>
      </c>
      <c r="H15" s="16"/>
      <c r="I15" s="41">
        <v>1</v>
      </c>
      <c r="J15" s="41">
        <v>1</v>
      </c>
      <c r="K15" s="41">
        <v>1</v>
      </c>
      <c r="L15" s="16"/>
      <c r="M15" s="40">
        <v>1</v>
      </c>
      <c r="N15" s="42">
        <v>2</v>
      </c>
      <c r="O15" s="41">
        <v>1</v>
      </c>
      <c r="P15" s="5"/>
      <c r="Q15" s="5">
        <f>_xlfn.FLOOR.MATH($Q$1/IF(B15=1,2,B15))</f>
        <v>3</v>
      </c>
      <c r="R15" s="5">
        <f>(F15*G15)</f>
        <v>1</v>
      </c>
      <c r="S15" s="5">
        <f>(I15+((F15-I15)*(1-K15)))*J15</f>
        <v>1</v>
      </c>
      <c r="T15" s="5">
        <f>(F15+((M15-F15)*(O15)))*N15</f>
        <v>2</v>
      </c>
      <c r="U15" s="5">
        <f t="shared" si="5"/>
        <v>1.3333333333333333</v>
      </c>
      <c r="V15" s="5">
        <f>U15/B15</f>
        <v>0.44444444444444442</v>
      </c>
      <c r="W15" s="5"/>
      <c r="X15" s="5"/>
      <c r="Y15" s="10"/>
      <c r="Z15" s="5"/>
      <c r="AA15" s="5"/>
      <c r="AB15" s="5"/>
      <c r="AC15" s="5"/>
      <c r="AD15" s="5"/>
    </row>
    <row r="16" spans="1:30" ht="15.75" thickBot="1" x14ac:dyDescent="0.3">
      <c r="A16" s="63" t="s">
        <v>14</v>
      </c>
      <c r="B16" s="64" t="s">
        <v>2</v>
      </c>
      <c r="C16" s="64"/>
      <c r="D16" s="64" t="s">
        <v>22</v>
      </c>
      <c r="E16" s="64" t="s">
        <v>47</v>
      </c>
      <c r="F16" s="64">
        <v>1</v>
      </c>
      <c r="G16" s="64">
        <v>1</v>
      </c>
      <c r="H16" s="15"/>
      <c r="I16" s="64"/>
      <c r="J16" s="64"/>
      <c r="K16" s="64"/>
      <c r="L16" s="15"/>
      <c r="M16" s="63"/>
      <c r="N16" s="65"/>
      <c r="O16" s="64"/>
      <c r="P16" s="8"/>
      <c r="Q16" s="8"/>
      <c r="R16" s="8"/>
      <c r="S16" s="8"/>
      <c r="T16" s="8"/>
      <c r="U16" s="8"/>
      <c r="V16" s="8"/>
      <c r="W16" s="8"/>
      <c r="X16" s="8"/>
      <c r="Y16" s="2"/>
      <c r="Z16" s="8"/>
      <c r="AA16" s="8"/>
      <c r="AB16" s="8"/>
      <c r="AC16" s="8"/>
      <c r="AD16" s="8"/>
    </row>
    <row r="17" spans="1:30" x14ac:dyDescent="0.25">
      <c r="A17" s="46" t="s">
        <v>15</v>
      </c>
      <c r="B17" s="47">
        <v>3</v>
      </c>
      <c r="C17" s="47"/>
      <c r="D17" s="47" t="s">
        <v>10</v>
      </c>
      <c r="E17" s="47" t="s">
        <v>46</v>
      </c>
      <c r="F17" s="47">
        <v>3</v>
      </c>
      <c r="G17" s="47">
        <v>1</v>
      </c>
      <c r="H17" s="15"/>
      <c r="I17" s="47">
        <v>3</v>
      </c>
      <c r="J17" s="47">
        <v>1</v>
      </c>
      <c r="K17" s="47">
        <v>1</v>
      </c>
      <c r="L17" s="15"/>
      <c r="M17" s="46">
        <v>4</v>
      </c>
      <c r="N17" s="48">
        <v>1</v>
      </c>
      <c r="O17" s="47">
        <v>1</v>
      </c>
      <c r="P17" s="2"/>
      <c r="Q17" s="2">
        <f t="shared" ref="Q17:Q24" si="6">_xlfn.FLOOR.MATH($Q$1/IF(B17=1,2,B17))</f>
        <v>3</v>
      </c>
      <c r="R17" s="2">
        <f t="shared" ref="R17:R24" si="7">(F17*G17)</f>
        <v>3</v>
      </c>
      <c r="S17" s="2">
        <f t="shared" ref="S17:S24" si="8">(I17+((F17-I17)*(1-K17)))*J17</f>
        <v>3</v>
      </c>
      <c r="T17" s="2">
        <f t="shared" ref="T17:T24" si="9">(F17+((M17-F17)*(O17)))*N17</f>
        <v>4</v>
      </c>
      <c r="U17" s="2">
        <f t="shared" si="5"/>
        <v>3.3333333333333335</v>
      </c>
      <c r="V17" s="2">
        <f t="shared" ref="V17:V24" si="10">U17/B17</f>
        <v>1.1111111111111112</v>
      </c>
      <c r="W17" s="2">
        <f>(U17+U18)*Q17</f>
        <v>18</v>
      </c>
      <c r="X17" s="2">
        <f>(V17+V18)*Q17</f>
        <v>6</v>
      </c>
      <c r="Y17" s="2">
        <f>IF(B17=1,5,MOD($Q$1,Q17))</f>
        <v>1</v>
      </c>
      <c r="Z17" s="2">
        <f>((X17/$Q$1)*Y17)+X17</f>
        <v>6.6</v>
      </c>
      <c r="AA17" s="2">
        <f>((W17/20)+1)</f>
        <v>1.9</v>
      </c>
      <c r="AB17" s="2">
        <f>AA17^Z17</f>
        <v>69.147067454043793</v>
      </c>
      <c r="AC17" s="2">
        <f>Z17^AA17</f>
        <v>36.068948150872842</v>
      </c>
      <c r="AD17" s="2">
        <f>(AB17+AC17)/2</f>
        <v>52.608007802458317</v>
      </c>
    </row>
    <row r="18" spans="1:30" ht="15.75" thickBot="1" x14ac:dyDescent="0.3">
      <c r="A18" s="49"/>
      <c r="B18" s="50">
        <v>3</v>
      </c>
      <c r="C18" s="50"/>
      <c r="D18" s="50" t="s">
        <v>10</v>
      </c>
      <c r="E18" s="50" t="s">
        <v>46</v>
      </c>
      <c r="F18" s="50">
        <v>3</v>
      </c>
      <c r="G18" s="50">
        <v>1</v>
      </c>
      <c r="H18" s="16"/>
      <c r="I18" s="50">
        <v>2</v>
      </c>
      <c r="J18" s="50">
        <v>1</v>
      </c>
      <c r="K18" s="50">
        <v>1</v>
      </c>
      <c r="L18" s="16"/>
      <c r="M18" s="49">
        <v>3</v>
      </c>
      <c r="N18" s="51">
        <v>1</v>
      </c>
      <c r="O18" s="50">
        <v>1</v>
      </c>
      <c r="P18" s="10"/>
      <c r="Q18" s="10">
        <f t="shared" si="6"/>
        <v>3</v>
      </c>
      <c r="R18" s="10">
        <f t="shared" si="7"/>
        <v>3</v>
      </c>
      <c r="S18" s="10">
        <f t="shared" si="8"/>
        <v>2</v>
      </c>
      <c r="T18" s="10">
        <f t="shared" si="9"/>
        <v>3</v>
      </c>
      <c r="U18" s="10">
        <f t="shared" si="5"/>
        <v>2.6666666666666665</v>
      </c>
      <c r="V18" s="10">
        <f t="shared" si="10"/>
        <v>0.88888888888888884</v>
      </c>
      <c r="W18" s="10"/>
      <c r="X18" s="10"/>
      <c r="Y18" s="10"/>
      <c r="Z18" s="10"/>
      <c r="AA18" s="10"/>
      <c r="AB18" s="10"/>
      <c r="AC18" s="10"/>
      <c r="AD18" s="10"/>
    </row>
    <row r="19" spans="1:30" ht="15.75" thickBot="1" x14ac:dyDescent="0.3">
      <c r="A19" s="101" t="s">
        <v>67</v>
      </c>
      <c r="B19" s="102">
        <v>3</v>
      </c>
      <c r="C19" s="102"/>
      <c r="D19" s="102" t="s">
        <v>23</v>
      </c>
      <c r="E19" s="102" t="s">
        <v>46</v>
      </c>
      <c r="F19" s="102">
        <v>9</v>
      </c>
      <c r="G19" s="102">
        <v>1</v>
      </c>
      <c r="H19" s="15"/>
      <c r="I19" s="102">
        <v>6</v>
      </c>
      <c r="J19" s="102">
        <v>1</v>
      </c>
      <c r="K19" s="102">
        <v>0.5</v>
      </c>
      <c r="L19" s="15"/>
      <c r="M19" s="101">
        <v>12</v>
      </c>
      <c r="N19" s="103">
        <v>1</v>
      </c>
      <c r="O19" s="102">
        <v>1</v>
      </c>
      <c r="P19" s="8"/>
      <c r="Q19" s="8">
        <f t="shared" si="6"/>
        <v>3</v>
      </c>
      <c r="R19" s="8">
        <f t="shared" si="7"/>
        <v>9</v>
      </c>
      <c r="S19" s="8">
        <f t="shared" si="8"/>
        <v>7.5</v>
      </c>
      <c r="T19" s="8">
        <f t="shared" si="9"/>
        <v>12</v>
      </c>
      <c r="U19" s="8">
        <f t="shared" ref="U19:U24" si="11">(R19+S19+T19)/3</f>
        <v>9.5</v>
      </c>
      <c r="V19" s="8">
        <f t="shared" si="10"/>
        <v>3.1666666666666665</v>
      </c>
      <c r="W19" s="8">
        <f>U19*Q19</f>
        <v>28.5</v>
      </c>
      <c r="X19" s="8">
        <f>V19*Q19</f>
        <v>9.5</v>
      </c>
      <c r="Y19" s="8">
        <f>IF(B19=1,5,MOD($Q$1,Q19))</f>
        <v>1</v>
      </c>
      <c r="Z19" s="8">
        <f>((X19/$Q$1)*Y19)+X19</f>
        <v>10.45</v>
      </c>
      <c r="AA19" s="8">
        <f>((W19/60)+1)</f>
        <v>1.4750000000000001</v>
      </c>
      <c r="AB19" s="8">
        <f>AA19^Z19</f>
        <v>58.059943956314456</v>
      </c>
      <c r="AC19" s="8">
        <f>Z19^AA19</f>
        <v>31.856387716451117</v>
      </c>
      <c r="AD19" s="8">
        <f>(AB19+AC19)/2</f>
        <v>44.95816583638279</v>
      </c>
    </row>
    <row r="20" spans="1:30" x14ac:dyDescent="0.25">
      <c r="A20" s="87" t="s">
        <v>20</v>
      </c>
      <c r="B20" s="88">
        <v>2</v>
      </c>
      <c r="C20" s="88"/>
      <c r="D20" s="88" t="s">
        <v>10</v>
      </c>
      <c r="E20" s="88" t="s">
        <v>46</v>
      </c>
      <c r="F20" s="88">
        <v>2</v>
      </c>
      <c r="G20" s="88">
        <v>1</v>
      </c>
      <c r="H20" s="15"/>
      <c r="I20" s="88">
        <v>2</v>
      </c>
      <c r="J20" s="88">
        <v>1</v>
      </c>
      <c r="K20" s="88">
        <v>1</v>
      </c>
      <c r="L20" s="15"/>
      <c r="M20" s="87">
        <v>3</v>
      </c>
      <c r="N20" s="89">
        <v>1</v>
      </c>
      <c r="O20" s="88">
        <v>1</v>
      </c>
      <c r="P20" s="2"/>
      <c r="Q20" s="2">
        <f t="shared" si="6"/>
        <v>5</v>
      </c>
      <c r="R20" s="2">
        <f t="shared" si="7"/>
        <v>2</v>
      </c>
      <c r="S20" s="2">
        <f t="shared" si="8"/>
        <v>2</v>
      </c>
      <c r="T20" s="2">
        <f t="shared" si="9"/>
        <v>3</v>
      </c>
      <c r="U20" s="2">
        <f t="shared" si="11"/>
        <v>2.3333333333333335</v>
      </c>
      <c r="V20" s="2">
        <f t="shared" si="10"/>
        <v>1.1666666666666667</v>
      </c>
      <c r="W20" s="2">
        <f>(U20+U21)*Q20</f>
        <v>20</v>
      </c>
      <c r="X20" s="2">
        <f>(V20+V21)*Q20</f>
        <v>10</v>
      </c>
      <c r="Y20" s="2">
        <f>IF(B20=1,5,MOD($Q$1,Q20))</f>
        <v>0</v>
      </c>
      <c r="Z20" s="2">
        <f>((X20/$Q$1)*Y20)+X20</f>
        <v>10</v>
      </c>
      <c r="AA20" s="2">
        <f>((W20/40)+1)</f>
        <v>1.5</v>
      </c>
      <c r="AB20" s="2">
        <f>AA20^Z20</f>
        <v>57.6650390625</v>
      </c>
      <c r="AC20" s="2">
        <f>Z20^AA20</f>
        <v>31.622776601683803</v>
      </c>
      <c r="AD20" s="3">
        <f>(AB20+AC20)/2</f>
        <v>44.643907832091898</v>
      </c>
    </row>
    <row r="21" spans="1:30" ht="15.75" thickBot="1" x14ac:dyDescent="0.3">
      <c r="A21" s="90"/>
      <c r="B21" s="91">
        <v>2</v>
      </c>
      <c r="C21" s="91"/>
      <c r="D21" s="91" t="s">
        <v>43</v>
      </c>
      <c r="E21" s="91" t="s">
        <v>49</v>
      </c>
      <c r="F21" s="91">
        <v>2</v>
      </c>
      <c r="G21" s="91">
        <v>1</v>
      </c>
      <c r="H21" s="16"/>
      <c r="I21" s="91">
        <v>1</v>
      </c>
      <c r="J21" s="91">
        <v>1</v>
      </c>
      <c r="K21" s="91">
        <v>1</v>
      </c>
      <c r="L21" s="16"/>
      <c r="M21" s="90">
        <v>2</v>
      </c>
      <c r="N21" s="92">
        <v>1</v>
      </c>
      <c r="O21" s="91">
        <v>1</v>
      </c>
      <c r="P21" s="5"/>
      <c r="Q21" s="5">
        <f t="shared" si="6"/>
        <v>5</v>
      </c>
      <c r="R21" s="5">
        <f t="shared" si="7"/>
        <v>2</v>
      </c>
      <c r="S21" s="5">
        <f t="shared" si="8"/>
        <v>1</v>
      </c>
      <c r="T21" s="5">
        <f t="shared" si="9"/>
        <v>2</v>
      </c>
      <c r="U21" s="5">
        <f t="shared" si="11"/>
        <v>1.6666666666666667</v>
      </c>
      <c r="V21" s="5">
        <f t="shared" si="10"/>
        <v>0.83333333333333337</v>
      </c>
      <c r="W21" s="5"/>
      <c r="X21" s="5"/>
      <c r="Y21" s="5"/>
      <c r="Z21" s="5"/>
      <c r="AA21" s="5"/>
      <c r="AB21" s="5"/>
      <c r="AC21" s="5"/>
      <c r="AD21" s="6"/>
    </row>
    <row r="22" spans="1:30" ht="15.75" thickBot="1" x14ac:dyDescent="0.3">
      <c r="A22" s="113" t="s">
        <v>21</v>
      </c>
      <c r="B22" s="114">
        <v>1</v>
      </c>
      <c r="C22" s="114"/>
      <c r="D22" s="114" t="s">
        <v>10</v>
      </c>
      <c r="E22" s="114" t="s">
        <v>47</v>
      </c>
      <c r="F22" s="115">
        <v>2</v>
      </c>
      <c r="G22" s="114">
        <v>1</v>
      </c>
      <c r="H22" s="15"/>
      <c r="I22" s="115">
        <v>1</v>
      </c>
      <c r="J22" s="114">
        <v>1</v>
      </c>
      <c r="K22" s="114">
        <v>1</v>
      </c>
      <c r="L22" s="15"/>
      <c r="M22" s="121">
        <v>2</v>
      </c>
      <c r="N22" s="116">
        <v>1</v>
      </c>
      <c r="O22" s="114">
        <v>1</v>
      </c>
      <c r="P22" s="8"/>
      <c r="Q22" s="8">
        <f t="shared" si="6"/>
        <v>5</v>
      </c>
      <c r="R22" s="8">
        <f t="shared" si="7"/>
        <v>2</v>
      </c>
      <c r="S22" s="8">
        <f t="shared" si="8"/>
        <v>1</v>
      </c>
      <c r="T22" s="8">
        <f t="shared" si="9"/>
        <v>2</v>
      </c>
      <c r="U22" s="8">
        <f t="shared" si="11"/>
        <v>1.6666666666666667</v>
      </c>
      <c r="V22" s="8">
        <f t="shared" si="10"/>
        <v>1.6666666666666667</v>
      </c>
      <c r="W22" s="8">
        <f>U22*Q22</f>
        <v>8.3333333333333339</v>
      </c>
      <c r="X22" s="8">
        <f>V22*Q22</f>
        <v>8.3333333333333339</v>
      </c>
      <c r="Y22" s="8">
        <f>IF(B22=1,5,MOD($Q$1,Q22))</f>
        <v>5</v>
      </c>
      <c r="Z22" s="8">
        <f>((X22/$Q$1)*Y22)+X22</f>
        <v>12.5</v>
      </c>
      <c r="AA22" s="8">
        <f>((W22/20)+1)</f>
        <v>1.4166666666666667</v>
      </c>
      <c r="AB22" s="8">
        <f>AA22^Z22</f>
        <v>77.776060513609053</v>
      </c>
      <c r="AC22" s="8">
        <f>Z22^AA22</f>
        <v>35.806003663226619</v>
      </c>
      <c r="AD22" s="9">
        <f>(AB22+AC22)/2</f>
        <v>56.791032088417836</v>
      </c>
    </row>
    <row r="23" spans="1:30" x14ac:dyDescent="0.25">
      <c r="A23" s="69" t="s">
        <v>17</v>
      </c>
      <c r="B23" s="70">
        <v>3</v>
      </c>
      <c r="C23" s="70"/>
      <c r="D23" s="70" t="s">
        <v>10</v>
      </c>
      <c r="E23" s="70" t="s">
        <v>49</v>
      </c>
      <c r="F23" s="70">
        <v>3</v>
      </c>
      <c r="G23" s="70">
        <v>1</v>
      </c>
      <c r="H23" s="15"/>
      <c r="I23" s="70">
        <v>2</v>
      </c>
      <c r="J23" s="70">
        <v>1</v>
      </c>
      <c r="K23" s="70">
        <v>1</v>
      </c>
      <c r="L23" s="15"/>
      <c r="M23" s="69">
        <v>3</v>
      </c>
      <c r="N23" s="71">
        <v>1</v>
      </c>
      <c r="O23" s="70">
        <v>1</v>
      </c>
      <c r="P23" s="2"/>
      <c r="Q23" s="2">
        <f t="shared" si="6"/>
        <v>3</v>
      </c>
      <c r="R23" s="2">
        <f t="shared" si="7"/>
        <v>3</v>
      </c>
      <c r="S23" s="2">
        <f t="shared" si="8"/>
        <v>2</v>
      </c>
      <c r="T23" s="2">
        <f t="shared" si="9"/>
        <v>3</v>
      </c>
      <c r="U23" s="2">
        <f t="shared" si="11"/>
        <v>2.6666666666666665</v>
      </c>
      <c r="V23" s="2">
        <f t="shared" si="10"/>
        <v>0.88888888888888884</v>
      </c>
      <c r="W23" s="2">
        <f>(U23+U24)*Q23</f>
        <v>19</v>
      </c>
      <c r="X23" s="2">
        <f>(V23+V24)*Q23</f>
        <v>6.3333333333333321</v>
      </c>
      <c r="Y23" s="2">
        <f>IF(B23=1,5,MOD($Q$1,Q23))</f>
        <v>1</v>
      </c>
      <c r="Z23" s="2">
        <f>((X23/$Q$1)*Y23)+X23</f>
        <v>6.966666666666665</v>
      </c>
      <c r="AA23" s="2">
        <f>((W23/20)+1)</f>
        <v>1.95</v>
      </c>
      <c r="AB23" s="2">
        <f>AA23^Z23</f>
        <v>104.85145444690762</v>
      </c>
      <c r="AC23" s="2">
        <f>Z23^AA23</f>
        <v>44.045222803447757</v>
      </c>
      <c r="AD23" s="3">
        <f>(AB23+AC23)/2</f>
        <v>74.448338625177684</v>
      </c>
    </row>
    <row r="24" spans="1:30" ht="15.75" thickBot="1" x14ac:dyDescent="0.3">
      <c r="A24" s="75"/>
      <c r="B24" s="76">
        <v>3</v>
      </c>
      <c r="C24" s="76"/>
      <c r="D24" s="76" t="s">
        <v>11</v>
      </c>
      <c r="E24" s="76" t="s">
        <v>49</v>
      </c>
      <c r="F24" s="76">
        <v>2</v>
      </c>
      <c r="G24" s="76">
        <v>2</v>
      </c>
      <c r="H24" s="17"/>
      <c r="I24" s="76">
        <v>2</v>
      </c>
      <c r="J24" s="76">
        <v>1</v>
      </c>
      <c r="K24" s="76">
        <v>1</v>
      </c>
      <c r="L24" s="17"/>
      <c r="M24" s="75">
        <v>3</v>
      </c>
      <c r="N24" s="77">
        <v>2</v>
      </c>
      <c r="O24" s="76">
        <v>0.5</v>
      </c>
      <c r="P24" s="5"/>
      <c r="Q24" s="5">
        <f t="shared" si="6"/>
        <v>3</v>
      </c>
      <c r="R24" s="5">
        <f t="shared" si="7"/>
        <v>4</v>
      </c>
      <c r="S24" s="5">
        <f t="shared" si="8"/>
        <v>2</v>
      </c>
      <c r="T24" s="5">
        <f t="shared" si="9"/>
        <v>5</v>
      </c>
      <c r="U24" s="5">
        <f t="shared" si="11"/>
        <v>3.6666666666666665</v>
      </c>
      <c r="V24" s="5">
        <f t="shared" si="10"/>
        <v>1.2222222222222221</v>
      </c>
      <c r="W24" s="5"/>
      <c r="X24" s="5"/>
      <c r="Y24" s="5"/>
      <c r="Z24" s="5"/>
      <c r="AA24" s="5"/>
      <c r="AB24" s="5"/>
      <c r="AC24" s="5"/>
      <c r="AD24" s="6"/>
    </row>
    <row r="25" spans="1:30" ht="15.75" thickBot="1" x14ac:dyDescent="0.3">
      <c r="A25" s="78" t="s">
        <v>16</v>
      </c>
      <c r="B25" s="79" t="s">
        <v>2</v>
      </c>
      <c r="C25" s="79"/>
      <c r="D25" s="79" t="s">
        <v>22</v>
      </c>
      <c r="E25" s="79" t="s">
        <v>51</v>
      </c>
      <c r="F25" s="79">
        <v>1</v>
      </c>
      <c r="G25" s="79">
        <v>1</v>
      </c>
      <c r="H25" s="15"/>
      <c r="I25" s="79"/>
      <c r="J25" s="79">
        <v>1</v>
      </c>
      <c r="K25" s="79"/>
      <c r="L25" s="15"/>
      <c r="M25" s="78"/>
      <c r="N25" s="80">
        <v>1</v>
      </c>
      <c r="O25" s="79"/>
    </row>
    <row r="26" spans="1:30" x14ac:dyDescent="0.25">
      <c r="A26" s="117" t="s">
        <v>18</v>
      </c>
      <c r="B26" s="118">
        <v>2</v>
      </c>
      <c r="C26" s="118"/>
      <c r="D26" s="118" t="s">
        <v>2</v>
      </c>
      <c r="E26" s="118"/>
      <c r="F26" s="118" t="s">
        <v>2</v>
      </c>
      <c r="G26" s="118">
        <v>1</v>
      </c>
      <c r="H26" s="15"/>
      <c r="I26" s="118" t="s">
        <v>2</v>
      </c>
      <c r="J26" s="118">
        <v>1</v>
      </c>
      <c r="K26" s="118" t="s">
        <v>2</v>
      </c>
      <c r="L26" s="15"/>
      <c r="M26" s="117" t="s">
        <v>2</v>
      </c>
      <c r="N26" s="119">
        <v>1</v>
      </c>
      <c r="O26" s="118" t="s">
        <v>2</v>
      </c>
    </row>
    <row r="27" spans="1:30" ht="15.75" thickBot="1" x14ac:dyDescent="0.3">
      <c r="A27" s="106"/>
      <c r="B27" s="107">
        <v>2</v>
      </c>
      <c r="C27" s="107"/>
      <c r="D27" s="107"/>
      <c r="E27" s="107"/>
      <c r="F27" s="107"/>
      <c r="G27" s="107">
        <v>1</v>
      </c>
      <c r="H27" s="16"/>
      <c r="I27" s="107"/>
      <c r="J27" s="107">
        <v>1</v>
      </c>
      <c r="K27" s="107"/>
      <c r="L27" s="16"/>
      <c r="M27" s="106"/>
      <c r="N27" s="108">
        <v>1</v>
      </c>
      <c r="O27" s="107"/>
    </row>
    <row r="28" spans="1:30" ht="15.75" thickBot="1" x14ac:dyDescent="0.3">
      <c r="A28" s="43" t="s">
        <v>68</v>
      </c>
      <c r="B28" s="44">
        <v>4</v>
      </c>
      <c r="C28" s="44"/>
      <c r="D28" s="44" t="s">
        <v>23</v>
      </c>
      <c r="E28" s="44" t="s">
        <v>46</v>
      </c>
      <c r="F28" s="44">
        <v>16</v>
      </c>
      <c r="G28" s="44">
        <v>1</v>
      </c>
      <c r="H28" s="14"/>
      <c r="I28" s="44">
        <v>14</v>
      </c>
      <c r="J28" s="44">
        <v>1</v>
      </c>
      <c r="K28" s="44">
        <v>1</v>
      </c>
      <c r="L28" s="14"/>
      <c r="M28" s="43">
        <v>18</v>
      </c>
      <c r="N28" s="45">
        <v>1</v>
      </c>
      <c r="O28" s="44">
        <v>1</v>
      </c>
      <c r="P28" s="8"/>
      <c r="Q28" s="8">
        <f>_xlfn.FLOOR.MATH($Q$1/IF(B28=1,2,B28))</f>
        <v>2</v>
      </c>
      <c r="R28" s="8">
        <f t="shared" ref="R28:R33" si="12">(F28*G28)</f>
        <v>16</v>
      </c>
      <c r="S28" s="8">
        <f t="shared" ref="S28:S33" si="13">(I28+((F28-I28)*(1-K28)))*J28</f>
        <v>14</v>
      </c>
      <c r="T28" s="8">
        <f t="shared" ref="T28:T33" si="14">(F28+((M28-F28)*(O28)))*N28</f>
        <v>18</v>
      </c>
      <c r="U28" s="8">
        <f t="shared" si="5"/>
        <v>16</v>
      </c>
      <c r="V28" s="8">
        <f t="shared" ref="V28:V33" si="15">U28/B28</f>
        <v>4</v>
      </c>
      <c r="W28" s="8">
        <f>U28*Q28</f>
        <v>32</v>
      </c>
      <c r="X28" s="8">
        <f>V28*Q28</f>
        <v>8</v>
      </c>
      <c r="Y28" s="8">
        <f>IF(B28=1,5,MOD($Q$1,Q28))</f>
        <v>0</v>
      </c>
      <c r="Z28" s="8">
        <f>((X28/$Q$1)*Y28)+X28</f>
        <v>8</v>
      </c>
      <c r="AA28" s="8">
        <f>((W28/40)+1)</f>
        <v>1.8</v>
      </c>
      <c r="AB28" s="8">
        <f>AA28^Z28</f>
        <v>110.19960576000004</v>
      </c>
      <c r="AC28" s="8">
        <f>Z28^AA28</f>
        <v>42.2242531447326</v>
      </c>
      <c r="AD28" s="8">
        <f>(AB28+AC28)/2</f>
        <v>76.21192945236632</v>
      </c>
    </row>
    <row r="29" spans="1:30" x14ac:dyDescent="0.25">
      <c r="A29" s="34" t="s">
        <v>34</v>
      </c>
      <c r="B29" s="35">
        <v>2</v>
      </c>
      <c r="C29" s="35"/>
      <c r="D29" s="35" t="s">
        <v>10</v>
      </c>
      <c r="E29" s="35" t="s">
        <v>47</v>
      </c>
      <c r="F29" s="35">
        <v>1</v>
      </c>
      <c r="G29" s="35">
        <v>1</v>
      </c>
      <c r="H29" s="15"/>
      <c r="I29" s="35">
        <v>1</v>
      </c>
      <c r="J29" s="35">
        <v>1</v>
      </c>
      <c r="K29" s="35">
        <v>1</v>
      </c>
      <c r="L29" s="15"/>
      <c r="M29" s="34">
        <v>1</v>
      </c>
      <c r="N29" s="36">
        <v>1</v>
      </c>
      <c r="O29" s="35">
        <v>1</v>
      </c>
      <c r="P29" s="2"/>
      <c r="Q29" s="2">
        <f>_xlfn.FLOOR.MATH($Q$1/IF(B29=1,2,B29))</f>
        <v>5</v>
      </c>
      <c r="R29" s="2">
        <f t="shared" si="12"/>
        <v>1</v>
      </c>
      <c r="S29" s="2">
        <f t="shared" si="13"/>
        <v>1</v>
      </c>
      <c r="T29" s="2">
        <f t="shared" si="14"/>
        <v>1</v>
      </c>
      <c r="U29" s="2">
        <f t="shared" si="5"/>
        <v>1</v>
      </c>
      <c r="V29" s="2">
        <f t="shared" si="15"/>
        <v>0.5</v>
      </c>
      <c r="W29" s="2">
        <f>(U29+U30+U31+U32)*Q29</f>
        <v>21.666666666666664</v>
      </c>
      <c r="X29" s="2">
        <f>(V29+V30+V31+V32)*Q29</f>
        <v>10.833333333333332</v>
      </c>
      <c r="Y29" s="2">
        <f>IF(B29=1,5,MOD($Q$1,Q29))</f>
        <v>0</v>
      </c>
      <c r="Z29" s="2">
        <f>((X29/$Q$1)*Y29)+X29</f>
        <v>10.833333333333332</v>
      </c>
      <c r="AA29" s="2">
        <f>((W29/40)+1)</f>
        <v>1.5416666666666665</v>
      </c>
      <c r="AB29" s="2">
        <f>AA29^Z29</f>
        <v>108.78363304596071</v>
      </c>
      <c r="AC29" s="2">
        <f>Z29^AA29</f>
        <v>39.378416410489059</v>
      </c>
      <c r="AD29" s="2">
        <f>(AB29+AC29)/2</f>
        <v>74.081024728224889</v>
      </c>
    </row>
    <row r="30" spans="1:30" x14ac:dyDescent="0.25">
      <c r="A30" s="37"/>
      <c r="B30" s="38">
        <v>2</v>
      </c>
      <c r="C30" s="38"/>
      <c r="D30" s="38" t="s">
        <v>10</v>
      </c>
      <c r="E30" s="38" t="s">
        <v>48</v>
      </c>
      <c r="F30" s="38">
        <v>1</v>
      </c>
      <c r="G30" s="38">
        <v>1</v>
      </c>
      <c r="H30" s="17"/>
      <c r="I30" s="38">
        <v>1</v>
      </c>
      <c r="J30" s="38">
        <v>1</v>
      </c>
      <c r="K30" s="38">
        <v>1</v>
      </c>
      <c r="L30" s="17"/>
      <c r="M30" s="37">
        <v>1</v>
      </c>
      <c r="N30" s="39">
        <v>1</v>
      </c>
      <c r="O30" s="38">
        <v>1</v>
      </c>
      <c r="P30" s="10"/>
      <c r="Q30" s="10">
        <f>_xlfn.FLOOR.MATH($Q$1/IF(B30=1,2,B30))</f>
        <v>5</v>
      </c>
      <c r="R30" s="10">
        <f t="shared" si="12"/>
        <v>1</v>
      </c>
      <c r="S30" s="10">
        <f t="shared" si="13"/>
        <v>1</v>
      </c>
      <c r="T30" s="10">
        <f t="shared" si="14"/>
        <v>1</v>
      </c>
      <c r="U30" s="10">
        <f t="shared" si="5"/>
        <v>1</v>
      </c>
      <c r="V30" s="10">
        <f t="shared" si="15"/>
        <v>0.5</v>
      </c>
      <c r="W30" s="10"/>
      <c r="X30" s="10"/>
      <c r="Y30" s="10"/>
      <c r="Z30" s="10"/>
      <c r="AA30" s="10"/>
      <c r="AB30" s="10"/>
      <c r="AC30" s="10"/>
      <c r="AD30" s="10"/>
    </row>
    <row r="31" spans="1:30" x14ac:dyDescent="0.25">
      <c r="A31" s="37"/>
      <c r="B31" s="38">
        <v>2</v>
      </c>
      <c r="C31" s="38"/>
      <c r="D31" s="38" t="s">
        <v>11</v>
      </c>
      <c r="E31" s="38" t="s">
        <v>47</v>
      </c>
      <c r="F31" s="38">
        <v>2</v>
      </c>
      <c r="G31" s="38">
        <v>1</v>
      </c>
      <c r="H31" s="17"/>
      <c r="I31" s="38">
        <v>0</v>
      </c>
      <c r="J31" s="38">
        <v>1</v>
      </c>
      <c r="K31" s="38">
        <v>1</v>
      </c>
      <c r="L31" s="17"/>
      <c r="M31" s="37">
        <v>2</v>
      </c>
      <c r="N31" s="39">
        <v>1</v>
      </c>
      <c r="O31" s="38">
        <v>1</v>
      </c>
      <c r="P31" s="10"/>
      <c r="Q31" s="10">
        <f>_xlfn.FLOOR.MATH($Q$1/IF(B31=1,2,B31))</f>
        <v>5</v>
      </c>
      <c r="R31" s="10">
        <f t="shared" si="12"/>
        <v>2</v>
      </c>
      <c r="S31" s="10">
        <f t="shared" si="13"/>
        <v>0</v>
      </c>
      <c r="T31" s="10">
        <f t="shared" si="14"/>
        <v>2</v>
      </c>
      <c r="U31" s="10">
        <f t="shared" si="5"/>
        <v>1.3333333333333333</v>
      </c>
      <c r="V31" s="10">
        <f t="shared" si="15"/>
        <v>0.66666666666666663</v>
      </c>
      <c r="W31" s="10"/>
      <c r="X31" s="10"/>
      <c r="Y31" s="10"/>
      <c r="Z31" s="10"/>
      <c r="AA31" s="10"/>
      <c r="AB31" s="10"/>
      <c r="AC31" s="10"/>
      <c r="AD31" s="10"/>
    </row>
    <row r="32" spans="1:30" ht="15.75" thickBot="1" x14ac:dyDescent="0.3">
      <c r="A32" s="40"/>
      <c r="B32" s="41">
        <v>2</v>
      </c>
      <c r="C32" s="41"/>
      <c r="D32" s="41" t="s">
        <v>11</v>
      </c>
      <c r="E32" s="41" t="s">
        <v>48</v>
      </c>
      <c r="F32" s="41">
        <v>1</v>
      </c>
      <c r="G32" s="41">
        <v>1</v>
      </c>
      <c r="H32" s="16"/>
      <c r="I32" s="41">
        <v>0</v>
      </c>
      <c r="J32" s="41">
        <v>1</v>
      </c>
      <c r="K32" s="41">
        <v>1</v>
      </c>
      <c r="L32" s="16"/>
      <c r="M32" s="40">
        <v>2</v>
      </c>
      <c r="N32" s="42">
        <v>1</v>
      </c>
      <c r="O32" s="41">
        <v>1</v>
      </c>
      <c r="P32" s="5"/>
      <c r="Q32" s="5">
        <f>_xlfn.FLOOR.MATH($Q$1/IF(B32=1,2,B32))</f>
        <v>5</v>
      </c>
      <c r="R32" s="5">
        <f t="shared" si="12"/>
        <v>1</v>
      </c>
      <c r="S32" s="5">
        <f t="shared" si="13"/>
        <v>0</v>
      </c>
      <c r="T32" s="5">
        <f t="shared" si="14"/>
        <v>2</v>
      </c>
      <c r="U32" s="5">
        <f t="shared" si="5"/>
        <v>1</v>
      </c>
      <c r="V32" s="5">
        <f t="shared" si="15"/>
        <v>0.5</v>
      </c>
      <c r="W32" s="5"/>
      <c r="X32" s="5"/>
      <c r="Y32" s="5"/>
      <c r="Z32" s="5"/>
      <c r="AA32" s="5"/>
      <c r="AB32" s="5"/>
      <c r="AC32" s="5"/>
      <c r="AD32" s="5"/>
    </row>
    <row r="33" spans="1:30" x14ac:dyDescent="0.25">
      <c r="A33" s="63" t="s">
        <v>29</v>
      </c>
      <c r="B33" s="64">
        <v>3</v>
      </c>
      <c r="C33" s="64"/>
      <c r="D33" s="64" t="s">
        <v>10</v>
      </c>
      <c r="E33" s="64" t="s">
        <v>46</v>
      </c>
      <c r="F33" s="64">
        <v>5</v>
      </c>
      <c r="G33" s="64">
        <v>1</v>
      </c>
      <c r="H33" s="15"/>
      <c r="I33" s="64">
        <v>4</v>
      </c>
      <c r="J33" s="64">
        <v>1</v>
      </c>
      <c r="K33" s="64">
        <v>1</v>
      </c>
      <c r="L33" s="15"/>
      <c r="M33" s="63">
        <v>6</v>
      </c>
      <c r="N33" s="65">
        <v>1</v>
      </c>
      <c r="O33" s="64">
        <v>0.66</v>
      </c>
      <c r="P33" s="2"/>
      <c r="Q33" s="2">
        <v>4</v>
      </c>
      <c r="R33" s="2">
        <f t="shared" si="12"/>
        <v>5</v>
      </c>
      <c r="S33" s="2">
        <f t="shared" si="13"/>
        <v>4</v>
      </c>
      <c r="T33" s="2">
        <f t="shared" si="14"/>
        <v>5.66</v>
      </c>
      <c r="U33" s="2">
        <f t="shared" si="5"/>
        <v>4.8866666666666667</v>
      </c>
      <c r="V33" s="2">
        <f t="shared" si="15"/>
        <v>1.6288888888888888</v>
      </c>
      <c r="W33" s="2">
        <f>U33*Q33</f>
        <v>19.546666666666667</v>
      </c>
      <c r="X33" s="2">
        <f>V33*Q33</f>
        <v>6.5155555555555553</v>
      </c>
      <c r="Y33" s="2">
        <f>IF(B33=1,5,MOD($Q$1,Q33))</f>
        <v>2</v>
      </c>
      <c r="Z33" s="2">
        <f>((X33/$Q$1)*Y33)+X33</f>
        <v>7.8186666666666662</v>
      </c>
      <c r="AA33" s="2">
        <f>((W33/20)+1)</f>
        <v>1.9773333333333334</v>
      </c>
      <c r="AB33" s="2">
        <f>AA33^Z33</f>
        <v>206.51421371950727</v>
      </c>
      <c r="AC33" s="2">
        <f>Z33^AA33</f>
        <v>58.347339135359348</v>
      </c>
      <c r="AD33" s="3">
        <f>(AB33+AC33)/2</f>
        <v>132.4307764274333</v>
      </c>
    </row>
    <row r="34" spans="1:30" ht="15.75" thickBot="1" x14ac:dyDescent="0.3">
      <c r="A34" s="66"/>
      <c r="B34" s="67">
        <v>3</v>
      </c>
      <c r="C34" s="67"/>
      <c r="D34" s="67" t="s">
        <v>10</v>
      </c>
      <c r="E34" s="67"/>
      <c r="F34" s="67" t="s">
        <v>50</v>
      </c>
      <c r="G34" s="67">
        <v>1</v>
      </c>
      <c r="H34" s="16"/>
      <c r="I34" s="67" t="s">
        <v>50</v>
      </c>
      <c r="J34" s="67">
        <v>1</v>
      </c>
      <c r="K34" s="67"/>
      <c r="L34" s="16"/>
      <c r="M34" s="66" t="s">
        <v>50</v>
      </c>
      <c r="N34" s="68">
        <v>1</v>
      </c>
      <c r="O34" s="67">
        <v>1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6"/>
    </row>
    <row r="35" spans="1:30" ht="15.75" thickBot="1" x14ac:dyDescent="0.3">
      <c r="A35" s="60" t="s">
        <v>30</v>
      </c>
      <c r="B35" s="61">
        <v>2</v>
      </c>
      <c r="C35" s="61"/>
      <c r="D35" s="61" t="s">
        <v>10</v>
      </c>
      <c r="E35" s="61" t="s">
        <v>49</v>
      </c>
      <c r="F35" s="61">
        <v>3</v>
      </c>
      <c r="G35" s="61">
        <v>1</v>
      </c>
      <c r="H35" s="14"/>
      <c r="I35" s="61">
        <v>2</v>
      </c>
      <c r="J35" s="61">
        <v>1</v>
      </c>
      <c r="K35" s="61">
        <v>1</v>
      </c>
      <c r="L35" s="14"/>
      <c r="M35" s="60">
        <v>5</v>
      </c>
      <c r="N35" s="62">
        <v>1</v>
      </c>
      <c r="O35" s="61">
        <v>1</v>
      </c>
      <c r="P35" s="8"/>
      <c r="Q35" s="8">
        <f t="shared" ref="Q35:Q46" si="16">_xlfn.FLOOR.MATH($Q$1/IF(B35=1,2,B35))</f>
        <v>5</v>
      </c>
      <c r="R35" s="8">
        <f t="shared" ref="R35:R46" si="17">(F35*G35)</f>
        <v>3</v>
      </c>
      <c r="S35" s="8">
        <f t="shared" ref="S35:S46" si="18">(I35+((F35-I35)*(1-K35)))*J35</f>
        <v>2</v>
      </c>
      <c r="T35" s="8">
        <f t="shared" ref="T35:T46" si="19">(F35+((M35-F35)*(O35)))*N35</f>
        <v>5</v>
      </c>
      <c r="U35" s="8">
        <f t="shared" si="5"/>
        <v>3.3333333333333335</v>
      </c>
      <c r="V35" s="8">
        <f t="shared" ref="V35:V46" si="20">U35/B35</f>
        <v>1.6666666666666667</v>
      </c>
      <c r="W35" s="8">
        <f>U35*Q35</f>
        <v>16.666666666666668</v>
      </c>
      <c r="X35" s="8">
        <f>V35*Q35</f>
        <v>8.3333333333333339</v>
      </c>
      <c r="Y35" s="8">
        <f>IF(B35=1,5,MOD($Q$1,Q35))</f>
        <v>0</v>
      </c>
      <c r="Z35" s="8">
        <f>((X35/$Q$1)*Y35)+X35</f>
        <v>8.3333333333333339</v>
      </c>
      <c r="AA35" s="8">
        <f>((W35/20)+1)</f>
        <v>1.8333333333333335</v>
      </c>
      <c r="AB35" s="8">
        <f>AA35^Z35</f>
        <v>156.1991345003396</v>
      </c>
      <c r="AC35" s="8">
        <f>Z35^AA35</f>
        <v>48.7716799918053</v>
      </c>
      <c r="AD35" s="9">
        <f>(AB35+AC35)/2</f>
        <v>102.48540724607244</v>
      </c>
    </row>
    <row r="36" spans="1:30" ht="15.75" thickBot="1" x14ac:dyDescent="0.3">
      <c r="A36" s="52" t="s">
        <v>32</v>
      </c>
      <c r="B36" s="53">
        <v>2</v>
      </c>
      <c r="C36" s="53"/>
      <c r="D36" s="53" t="s">
        <v>23</v>
      </c>
      <c r="E36" s="53" t="s">
        <v>46</v>
      </c>
      <c r="F36" s="53">
        <v>6</v>
      </c>
      <c r="G36" s="53">
        <v>1</v>
      </c>
      <c r="H36" s="14"/>
      <c r="I36" s="53">
        <v>3</v>
      </c>
      <c r="J36" s="53">
        <v>1</v>
      </c>
      <c r="K36" s="53">
        <v>1</v>
      </c>
      <c r="L36" s="14"/>
      <c r="M36" s="52">
        <v>9</v>
      </c>
      <c r="N36" s="54">
        <v>1</v>
      </c>
      <c r="O36" s="53">
        <v>0.33</v>
      </c>
      <c r="P36" s="8"/>
      <c r="Q36" s="8">
        <f t="shared" si="16"/>
        <v>5</v>
      </c>
      <c r="R36" s="8">
        <f t="shared" si="17"/>
        <v>6</v>
      </c>
      <c r="S36" s="8">
        <f t="shared" si="18"/>
        <v>3</v>
      </c>
      <c r="T36" s="8">
        <f t="shared" si="19"/>
        <v>6.99</v>
      </c>
      <c r="U36" s="8">
        <f t="shared" si="5"/>
        <v>5.33</v>
      </c>
      <c r="V36" s="8">
        <f t="shared" si="20"/>
        <v>2.665</v>
      </c>
      <c r="W36" s="8">
        <f>U36*Q36</f>
        <v>26.65</v>
      </c>
      <c r="X36" s="8">
        <f>V36*Q36</f>
        <v>13.324999999999999</v>
      </c>
      <c r="Y36" s="8">
        <f>IF(B36=1,5,MOD($Q$1,Q36))</f>
        <v>0</v>
      </c>
      <c r="Z36" s="8">
        <f>((X36/$Q$1)*Y36)+X36</f>
        <v>13.324999999999999</v>
      </c>
      <c r="AA36" s="8">
        <f>((W36/60)+1)</f>
        <v>1.4441666666666666</v>
      </c>
      <c r="AB36" s="8">
        <f>AA36^Z36</f>
        <v>133.93705472689194</v>
      </c>
      <c r="AC36" s="8">
        <f>Z36^AA36</f>
        <v>42.092711902603014</v>
      </c>
      <c r="AD36" s="9">
        <f>(AB36+AC36)/2</f>
        <v>88.014883314747479</v>
      </c>
    </row>
    <row r="37" spans="1:30" x14ac:dyDescent="0.25">
      <c r="A37" s="46" t="s">
        <v>40</v>
      </c>
      <c r="B37" s="47">
        <v>3</v>
      </c>
      <c r="C37" s="47"/>
      <c r="D37" s="47" t="s">
        <v>10</v>
      </c>
      <c r="E37" s="47" t="s">
        <v>46</v>
      </c>
      <c r="F37" s="47">
        <v>7</v>
      </c>
      <c r="G37" s="47">
        <v>1</v>
      </c>
      <c r="H37" s="15"/>
      <c r="I37" s="47">
        <v>6</v>
      </c>
      <c r="J37" s="47">
        <v>1</v>
      </c>
      <c r="K37" s="47">
        <v>0.5</v>
      </c>
      <c r="L37" s="15"/>
      <c r="M37" s="46">
        <v>8</v>
      </c>
      <c r="N37" s="48">
        <v>1</v>
      </c>
      <c r="O37" s="47">
        <v>1</v>
      </c>
      <c r="P37" s="2"/>
      <c r="Q37" s="2">
        <f t="shared" si="16"/>
        <v>3</v>
      </c>
      <c r="R37" s="2">
        <f t="shared" si="17"/>
        <v>7</v>
      </c>
      <c r="S37" s="2">
        <f t="shared" si="18"/>
        <v>6.5</v>
      </c>
      <c r="T37" s="2">
        <f t="shared" si="19"/>
        <v>8</v>
      </c>
      <c r="U37" s="2">
        <f t="shared" si="5"/>
        <v>7.166666666666667</v>
      </c>
      <c r="V37" s="2">
        <f t="shared" si="20"/>
        <v>2.3888888888888888</v>
      </c>
      <c r="W37" s="2">
        <f>U37*Q37</f>
        <v>21.5</v>
      </c>
      <c r="X37" s="2">
        <f>V37*Q37</f>
        <v>7.1666666666666661</v>
      </c>
      <c r="Y37" s="2">
        <f>IF(B37=1,5,MOD($Q$1,Q37))</f>
        <v>1</v>
      </c>
      <c r="Z37" s="2">
        <f>((X37/$Q$1)*Y37)+X37</f>
        <v>7.8833333333333329</v>
      </c>
      <c r="AA37" s="2">
        <f>((W37/20)+1)</f>
        <v>2.0750000000000002</v>
      </c>
      <c r="AB37" s="2">
        <f>AA37^Z37</f>
        <v>315.61625567854207</v>
      </c>
      <c r="AC37" s="2">
        <f>Z37^AA37</f>
        <v>72.555948268619218</v>
      </c>
      <c r="AD37" s="3">
        <f>(AB37+AC37)/2</f>
        <v>194.08610197358064</v>
      </c>
    </row>
    <row r="38" spans="1:30" x14ac:dyDescent="0.25">
      <c r="A38" s="55"/>
      <c r="B38" s="56">
        <v>3</v>
      </c>
      <c r="C38" s="56"/>
      <c r="D38" s="56" t="s">
        <v>43</v>
      </c>
      <c r="E38" s="56" t="s">
        <v>47</v>
      </c>
      <c r="F38" s="57">
        <v>-2</v>
      </c>
      <c r="G38" s="56">
        <v>1</v>
      </c>
      <c r="H38" s="17"/>
      <c r="I38" s="56">
        <v>-2</v>
      </c>
      <c r="J38" s="56">
        <v>1</v>
      </c>
      <c r="K38" s="56">
        <v>1</v>
      </c>
      <c r="L38" s="17"/>
      <c r="M38" s="55">
        <v>-2</v>
      </c>
      <c r="N38" s="58">
        <v>1</v>
      </c>
      <c r="O38" s="56">
        <v>1</v>
      </c>
      <c r="P38" s="10"/>
      <c r="Q38" s="10">
        <f t="shared" si="16"/>
        <v>3</v>
      </c>
      <c r="R38" s="10">
        <f t="shared" si="17"/>
        <v>-2</v>
      </c>
      <c r="S38" s="10">
        <f t="shared" si="18"/>
        <v>-2</v>
      </c>
      <c r="T38" s="10">
        <f t="shared" si="19"/>
        <v>-2</v>
      </c>
      <c r="U38" s="10">
        <f t="shared" si="5"/>
        <v>-2</v>
      </c>
      <c r="V38" s="10">
        <f t="shared" si="20"/>
        <v>-0.66666666666666663</v>
      </c>
      <c r="W38" s="10"/>
      <c r="X38" s="10"/>
      <c r="Y38" s="10"/>
      <c r="Z38" s="10"/>
      <c r="AA38" s="10"/>
      <c r="AB38" s="10"/>
      <c r="AC38" s="10"/>
      <c r="AD38" s="12"/>
    </row>
    <row r="39" spans="1:30" ht="15.75" thickBot="1" x14ac:dyDescent="0.3">
      <c r="A39" s="49"/>
      <c r="B39" s="50">
        <v>3</v>
      </c>
      <c r="C39" s="50"/>
      <c r="D39" s="50" t="s">
        <v>43</v>
      </c>
      <c r="E39" s="50" t="s">
        <v>51</v>
      </c>
      <c r="F39" s="59">
        <v>-2</v>
      </c>
      <c r="G39" s="50">
        <v>1</v>
      </c>
      <c r="H39" s="16"/>
      <c r="I39" s="50">
        <v>-2</v>
      </c>
      <c r="J39" s="50">
        <v>1</v>
      </c>
      <c r="K39" s="50">
        <v>1</v>
      </c>
      <c r="L39" s="16"/>
      <c r="M39" s="49">
        <v>-2</v>
      </c>
      <c r="N39" s="51">
        <v>1</v>
      </c>
      <c r="O39" s="50">
        <v>1</v>
      </c>
      <c r="P39" s="5"/>
      <c r="Q39" s="5">
        <f t="shared" si="16"/>
        <v>3</v>
      </c>
      <c r="R39" s="5">
        <f t="shared" si="17"/>
        <v>-2</v>
      </c>
      <c r="S39" s="5">
        <f t="shared" si="18"/>
        <v>-2</v>
      </c>
      <c r="T39" s="5">
        <f t="shared" si="19"/>
        <v>-2</v>
      </c>
      <c r="U39" s="5">
        <f t="shared" si="5"/>
        <v>-2</v>
      </c>
      <c r="V39" s="5">
        <f t="shared" si="20"/>
        <v>-0.66666666666666663</v>
      </c>
      <c r="W39" s="5"/>
      <c r="X39" s="5"/>
      <c r="Y39" s="5"/>
      <c r="Z39" s="5"/>
      <c r="AA39" s="5"/>
      <c r="AB39" s="5"/>
      <c r="AC39" s="5"/>
      <c r="AD39" s="6"/>
    </row>
    <row r="40" spans="1:30" x14ac:dyDescent="0.25">
      <c r="A40" s="101" t="s">
        <v>27</v>
      </c>
      <c r="B40" s="102">
        <v>2</v>
      </c>
      <c r="C40" s="102"/>
      <c r="D40" s="102" t="s">
        <v>10</v>
      </c>
      <c r="E40" s="102" t="s">
        <v>46</v>
      </c>
      <c r="F40" s="102">
        <v>4</v>
      </c>
      <c r="G40" s="102">
        <v>1</v>
      </c>
      <c r="H40" s="15"/>
      <c r="I40" s="102">
        <v>3</v>
      </c>
      <c r="J40" s="102">
        <v>1</v>
      </c>
      <c r="K40" s="102">
        <v>1</v>
      </c>
      <c r="L40" s="15"/>
      <c r="M40" s="101">
        <v>5</v>
      </c>
      <c r="N40" s="103">
        <v>1</v>
      </c>
      <c r="O40" s="102">
        <v>0.3</v>
      </c>
      <c r="P40" s="1"/>
      <c r="Q40" s="2">
        <f t="shared" si="16"/>
        <v>5</v>
      </c>
      <c r="R40" s="2">
        <f t="shared" si="17"/>
        <v>4</v>
      </c>
      <c r="S40" s="2">
        <f t="shared" si="18"/>
        <v>3</v>
      </c>
      <c r="T40" s="2">
        <f t="shared" si="19"/>
        <v>4.3</v>
      </c>
      <c r="U40" s="2">
        <f t="shared" ref="U40:U46" si="21">(R40+S40+T40)/3</f>
        <v>3.7666666666666671</v>
      </c>
      <c r="V40" s="2">
        <f t="shared" si="20"/>
        <v>1.8833333333333335</v>
      </c>
      <c r="W40" s="2">
        <f>U40*Q40</f>
        <v>18.833333333333336</v>
      </c>
      <c r="X40" s="2">
        <f>V40*Q40</f>
        <v>9.4166666666666679</v>
      </c>
      <c r="Y40" s="2">
        <f>IF(B40=1,5,MOD($Q$1,Q40))</f>
        <v>0</v>
      </c>
      <c r="Z40" s="2">
        <f>((X40/$Q$1)*Y40)+X40</f>
        <v>9.4166666666666679</v>
      </c>
      <c r="AA40" s="2">
        <f>((W40/20)+1)</f>
        <v>1.9416666666666669</v>
      </c>
      <c r="AB40" s="2">
        <f>AA40^Z40</f>
        <v>517.18373240998119</v>
      </c>
      <c r="AC40" s="2">
        <f>Z40^AA40</f>
        <v>77.800739503698196</v>
      </c>
      <c r="AD40" s="3">
        <f>(AB40+AC40)/2</f>
        <v>297.49223595683969</v>
      </c>
    </row>
    <row r="41" spans="1:30" ht="15.75" thickBot="1" x14ac:dyDescent="0.3">
      <c r="A41" s="104"/>
      <c r="B41" s="94">
        <v>2</v>
      </c>
      <c r="C41" s="94"/>
      <c r="D41" s="94" t="s">
        <v>10</v>
      </c>
      <c r="E41" s="94" t="s">
        <v>51</v>
      </c>
      <c r="F41" s="111">
        <v>-2</v>
      </c>
      <c r="G41" s="94">
        <v>1</v>
      </c>
      <c r="H41" s="17"/>
      <c r="I41" s="94">
        <v>-2</v>
      </c>
      <c r="J41" s="94">
        <v>1</v>
      </c>
      <c r="K41" s="94">
        <v>1</v>
      </c>
      <c r="L41" s="17"/>
      <c r="M41" s="104">
        <v>-2</v>
      </c>
      <c r="N41" s="105">
        <v>1</v>
      </c>
      <c r="O41" s="94">
        <v>1</v>
      </c>
      <c r="P41" s="4"/>
      <c r="Q41" s="5">
        <f t="shared" si="16"/>
        <v>5</v>
      </c>
      <c r="R41" s="5">
        <f t="shared" si="17"/>
        <v>-2</v>
      </c>
      <c r="S41" s="5">
        <f t="shared" si="18"/>
        <v>-2</v>
      </c>
      <c r="T41" s="5">
        <f t="shared" si="19"/>
        <v>-2</v>
      </c>
      <c r="U41" s="5">
        <f t="shared" si="21"/>
        <v>-2</v>
      </c>
      <c r="V41" s="5">
        <f t="shared" si="20"/>
        <v>-1</v>
      </c>
      <c r="W41" s="5">
        <f>U41*Q41</f>
        <v>-10</v>
      </c>
      <c r="X41" s="5">
        <f>V41*Q41</f>
        <v>-5</v>
      </c>
      <c r="Y41" s="5">
        <f>IF(B41=1,5,MOD($Q$1,Q41))</f>
        <v>0</v>
      </c>
      <c r="Z41" s="5">
        <f>((X41/$Q$1)*Y41)+X41</f>
        <v>-5</v>
      </c>
      <c r="AA41" s="5">
        <f>((W41/20)+1)</f>
        <v>0.5</v>
      </c>
      <c r="AB41" s="5">
        <f>AA41^Z41</f>
        <v>32</v>
      </c>
      <c r="AC41" s="5" t="e">
        <f>Z41^AA41</f>
        <v>#NUM!</v>
      </c>
      <c r="AD41" s="6" t="e">
        <f>(AB41+AC41)/2</f>
        <v>#NUM!</v>
      </c>
    </row>
    <row r="42" spans="1:30" ht="15.75" thickBot="1" x14ac:dyDescent="0.3">
      <c r="A42" s="84" t="s">
        <v>28</v>
      </c>
      <c r="B42" s="85">
        <v>4</v>
      </c>
      <c r="C42" s="85"/>
      <c r="D42" s="85" t="s">
        <v>10</v>
      </c>
      <c r="E42" s="85" t="s">
        <v>46</v>
      </c>
      <c r="F42" s="85">
        <v>10</v>
      </c>
      <c r="G42" s="85">
        <v>1</v>
      </c>
      <c r="H42" s="14"/>
      <c r="I42" s="85">
        <v>8</v>
      </c>
      <c r="J42" s="85">
        <v>1</v>
      </c>
      <c r="K42" s="85">
        <v>1</v>
      </c>
      <c r="L42" s="14"/>
      <c r="M42" s="84">
        <v>12</v>
      </c>
      <c r="N42" s="86">
        <v>1</v>
      </c>
      <c r="O42" s="85">
        <v>0.33</v>
      </c>
      <c r="P42" s="7"/>
      <c r="Q42" s="8">
        <f t="shared" si="16"/>
        <v>2</v>
      </c>
      <c r="R42" s="8">
        <f t="shared" si="17"/>
        <v>10</v>
      </c>
      <c r="S42" s="8">
        <f t="shared" si="18"/>
        <v>8</v>
      </c>
      <c r="T42" s="8">
        <f t="shared" si="19"/>
        <v>10.66</v>
      </c>
      <c r="U42" s="8">
        <f t="shared" si="21"/>
        <v>9.5533333333333328</v>
      </c>
      <c r="V42" s="8">
        <f t="shared" si="20"/>
        <v>2.3883333333333332</v>
      </c>
      <c r="W42" s="8">
        <f>U42*Q42</f>
        <v>19.106666666666666</v>
      </c>
      <c r="X42" s="8">
        <f>V42*Q42</f>
        <v>4.7766666666666664</v>
      </c>
      <c r="Y42" s="8">
        <f>IF(B42=1,5,MOD($Q$1,Q42))</f>
        <v>0</v>
      </c>
      <c r="Z42" s="8">
        <f>((X42/$Q$1)*Y42)+X42</f>
        <v>4.7766666666666664</v>
      </c>
      <c r="AA42" s="8">
        <f>((W42/20)+1)</f>
        <v>1.9553333333333334</v>
      </c>
      <c r="AB42" s="8">
        <f>AA42^Z42</f>
        <v>24.607342084985547</v>
      </c>
      <c r="AC42" s="8">
        <f>Z42^AA42</f>
        <v>21.277256261958431</v>
      </c>
      <c r="AD42" s="9">
        <f>(AB42+AC42)/2</f>
        <v>22.942299173471987</v>
      </c>
    </row>
    <row r="43" spans="1:30" x14ac:dyDescent="0.25">
      <c r="A43" s="87" t="s">
        <v>42</v>
      </c>
      <c r="B43" s="88">
        <v>3</v>
      </c>
      <c r="C43" s="88"/>
      <c r="D43" s="88" t="s">
        <v>10</v>
      </c>
      <c r="E43" s="88" t="s">
        <v>46</v>
      </c>
      <c r="F43" s="88">
        <v>8</v>
      </c>
      <c r="G43" s="88">
        <v>1</v>
      </c>
      <c r="H43" s="15"/>
      <c r="I43" s="88">
        <v>7</v>
      </c>
      <c r="J43" s="88">
        <v>1</v>
      </c>
      <c r="K43" s="88">
        <v>1</v>
      </c>
      <c r="L43" s="15"/>
      <c r="M43" s="87">
        <v>9</v>
      </c>
      <c r="N43" s="89">
        <v>1</v>
      </c>
      <c r="O43" s="88">
        <v>1</v>
      </c>
      <c r="P43" s="1"/>
      <c r="Q43" s="2">
        <f t="shared" si="16"/>
        <v>3</v>
      </c>
      <c r="R43" s="2">
        <f t="shared" si="17"/>
        <v>8</v>
      </c>
      <c r="S43" s="2">
        <f t="shared" si="18"/>
        <v>7</v>
      </c>
      <c r="T43" s="2">
        <f t="shared" si="19"/>
        <v>9</v>
      </c>
      <c r="U43" s="2">
        <f t="shared" si="21"/>
        <v>8</v>
      </c>
      <c r="V43" s="2">
        <f t="shared" si="20"/>
        <v>2.6666666666666665</v>
      </c>
      <c r="W43" s="2">
        <f>U43*Q43</f>
        <v>24</v>
      </c>
      <c r="X43" s="2">
        <f>V43*Q43</f>
        <v>8</v>
      </c>
      <c r="Y43" s="2">
        <f>IF(B43=1,5,MOD($Q$1,Q43))</f>
        <v>1</v>
      </c>
      <c r="Z43" s="2">
        <f>((X43/$Q$1)*Y43)+X43</f>
        <v>8.8000000000000007</v>
      </c>
      <c r="AA43" s="2">
        <f>((W43/20)+1)</f>
        <v>2.2000000000000002</v>
      </c>
      <c r="AB43" s="2">
        <f>AA43^Z43</f>
        <v>1031.144646237236</v>
      </c>
      <c r="AC43" s="2">
        <f>Z43^AA43</f>
        <v>119.63599852806561</v>
      </c>
      <c r="AD43" s="3">
        <f>(AB43+AC43)/2</f>
        <v>575.39032238265077</v>
      </c>
    </row>
    <row r="44" spans="1:30" ht="15.75" thickBot="1" x14ac:dyDescent="0.3">
      <c r="A44" s="122"/>
      <c r="B44" s="95">
        <v>3</v>
      </c>
      <c r="C44" s="95"/>
      <c r="D44" s="95" t="s">
        <v>10</v>
      </c>
      <c r="E44" s="95" t="s">
        <v>49</v>
      </c>
      <c r="F44" s="123">
        <v>-3</v>
      </c>
      <c r="G44" s="95">
        <v>1</v>
      </c>
      <c r="H44" s="17"/>
      <c r="I44" s="95">
        <v>-3</v>
      </c>
      <c r="J44" s="95">
        <v>1</v>
      </c>
      <c r="K44" s="95">
        <v>1</v>
      </c>
      <c r="L44" s="17"/>
      <c r="M44" s="122">
        <v>-3</v>
      </c>
      <c r="N44" s="124">
        <v>1</v>
      </c>
      <c r="O44" s="95">
        <v>1</v>
      </c>
      <c r="P44" s="11"/>
      <c r="Q44" s="10">
        <f t="shared" si="16"/>
        <v>3</v>
      </c>
      <c r="R44" s="10">
        <f t="shared" si="17"/>
        <v>-3</v>
      </c>
      <c r="S44" s="10">
        <f t="shared" si="18"/>
        <v>-3</v>
      </c>
      <c r="T44" s="10">
        <f t="shared" si="19"/>
        <v>-3</v>
      </c>
      <c r="U44" s="10">
        <f t="shared" si="21"/>
        <v>-3</v>
      </c>
      <c r="V44" s="10">
        <f t="shared" si="20"/>
        <v>-1</v>
      </c>
      <c r="W44" s="10"/>
      <c r="X44" s="10"/>
      <c r="Y44" s="10"/>
      <c r="Z44" s="10"/>
      <c r="AA44" s="10"/>
      <c r="AB44" s="10"/>
      <c r="AC44" s="10"/>
      <c r="AD44" s="12"/>
    </row>
    <row r="45" spans="1:30" x14ac:dyDescent="0.25">
      <c r="A45" s="87" t="s">
        <v>37</v>
      </c>
      <c r="B45" s="88">
        <v>3</v>
      </c>
      <c r="C45" s="88"/>
      <c r="D45" s="88" t="s">
        <v>10</v>
      </c>
      <c r="E45" s="88" t="s">
        <v>52</v>
      </c>
      <c r="F45" s="88">
        <v>1</v>
      </c>
      <c r="G45" s="88">
        <v>1</v>
      </c>
      <c r="H45" s="15"/>
      <c r="I45" s="88">
        <v>1</v>
      </c>
      <c r="J45" s="88">
        <v>1</v>
      </c>
      <c r="K45" s="88">
        <v>1</v>
      </c>
      <c r="L45" s="15"/>
      <c r="M45" s="88">
        <v>2</v>
      </c>
      <c r="N45" s="88">
        <v>1</v>
      </c>
      <c r="O45" s="88">
        <v>0.3</v>
      </c>
      <c r="P45" s="2"/>
      <c r="Q45" s="2">
        <f t="shared" si="16"/>
        <v>3</v>
      </c>
      <c r="R45" s="2">
        <f t="shared" si="17"/>
        <v>1</v>
      </c>
      <c r="S45" s="2">
        <f t="shared" si="18"/>
        <v>1</v>
      </c>
      <c r="T45" s="2">
        <f t="shared" si="19"/>
        <v>1.3</v>
      </c>
      <c r="U45" s="2">
        <f t="shared" si="21"/>
        <v>1.0999999999999999</v>
      </c>
      <c r="V45" s="2">
        <f t="shared" si="20"/>
        <v>0.36666666666666664</v>
      </c>
      <c r="W45" s="2">
        <f>U45*Q45</f>
        <v>3.3</v>
      </c>
      <c r="X45" s="2">
        <f>V45*Q45</f>
        <v>1.0999999999999999</v>
      </c>
      <c r="Y45" s="2">
        <f>IF(B45=1,5,MOD($Q$1,Q45))</f>
        <v>1</v>
      </c>
      <c r="Z45" s="2">
        <f>((X45/$Q$1)*Y45)+X45</f>
        <v>1.21</v>
      </c>
      <c r="AA45" s="2">
        <f>((W45/20)+1)</f>
        <v>1.165</v>
      </c>
      <c r="AB45" s="2">
        <f>AA45^Z45</f>
        <v>1.2029688165976595</v>
      </c>
      <c r="AC45" s="2">
        <f>Z45^AA45</f>
        <v>1.2486621759578171</v>
      </c>
      <c r="AD45" s="3">
        <f>(AB45+AC45)/2</f>
        <v>1.2258154962777383</v>
      </c>
    </row>
    <row r="46" spans="1:30" ht="15.75" thickBot="1" x14ac:dyDescent="0.3">
      <c r="A46" s="90"/>
      <c r="B46" s="91">
        <v>3</v>
      </c>
      <c r="C46" s="91"/>
      <c r="D46" s="91" t="s">
        <v>10</v>
      </c>
      <c r="E46" s="91" t="s">
        <v>46</v>
      </c>
      <c r="F46" s="91">
        <v>2</v>
      </c>
      <c r="G46" s="91">
        <v>1</v>
      </c>
      <c r="H46" s="16"/>
      <c r="I46" s="91">
        <v>1</v>
      </c>
      <c r="J46" s="91">
        <v>1</v>
      </c>
      <c r="K46" s="91">
        <v>1</v>
      </c>
      <c r="L46" s="16"/>
      <c r="M46" s="91">
        <v>3</v>
      </c>
      <c r="N46" s="91">
        <v>1</v>
      </c>
      <c r="O46" s="91">
        <v>1</v>
      </c>
      <c r="P46" s="5"/>
      <c r="Q46" s="5">
        <f t="shared" si="16"/>
        <v>3</v>
      </c>
      <c r="R46" s="5">
        <f t="shared" si="17"/>
        <v>2</v>
      </c>
      <c r="S46" s="5">
        <f t="shared" si="18"/>
        <v>1</v>
      </c>
      <c r="T46" s="5">
        <f t="shared" si="19"/>
        <v>3</v>
      </c>
      <c r="U46" s="5">
        <f t="shared" si="21"/>
        <v>2</v>
      </c>
      <c r="V46" s="5">
        <f t="shared" si="20"/>
        <v>0.66666666666666663</v>
      </c>
      <c r="W46" s="5">
        <f>U46*Q46</f>
        <v>6</v>
      </c>
      <c r="X46" s="5">
        <f>V46*Q46</f>
        <v>2</v>
      </c>
      <c r="Y46" s="5">
        <f>IF(B46=1,5,MOD($Q$1,Q46))</f>
        <v>1</v>
      </c>
      <c r="Z46" s="5">
        <f>((X46/$Q$1)*Y46)+X46</f>
        <v>2.2000000000000002</v>
      </c>
      <c r="AA46" s="5">
        <f>((W46/20)+1)</f>
        <v>1.3</v>
      </c>
      <c r="AB46" s="5">
        <f>AA46^Z46</f>
        <v>1.7810469789844141</v>
      </c>
      <c r="AC46" s="5">
        <f>Z46^AA46</f>
        <v>2.7870803224242535</v>
      </c>
      <c r="AD46" s="6">
        <f>(AB46+AC46)/2</f>
        <v>2.2840636507043337</v>
      </c>
    </row>
    <row r="47" spans="1:30" x14ac:dyDescent="0.25">
      <c r="A47" s="125" t="s">
        <v>38</v>
      </c>
      <c r="B47" s="112">
        <v>3</v>
      </c>
      <c r="C47" s="112"/>
      <c r="D47" s="112" t="s">
        <v>10</v>
      </c>
      <c r="E47" s="112" t="s">
        <v>53</v>
      </c>
      <c r="F47" s="112">
        <v>1</v>
      </c>
      <c r="G47" s="112">
        <v>1</v>
      </c>
      <c r="H47" s="17"/>
      <c r="I47" s="112" t="s">
        <v>50</v>
      </c>
      <c r="J47" s="112">
        <v>1</v>
      </c>
      <c r="K47" s="112">
        <v>1</v>
      </c>
      <c r="L47" s="17"/>
      <c r="M47" s="112" t="s">
        <v>50</v>
      </c>
      <c r="N47" s="112">
        <v>1</v>
      </c>
      <c r="O47" s="112">
        <v>1</v>
      </c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2"/>
    </row>
    <row r="48" spans="1:30" ht="15.75" thickBot="1" x14ac:dyDescent="0.3">
      <c r="A48" s="109"/>
      <c r="B48" s="110">
        <v>3</v>
      </c>
      <c r="C48" s="110"/>
      <c r="D48" s="110" t="s">
        <v>10</v>
      </c>
      <c r="E48" s="110" t="s">
        <v>46</v>
      </c>
      <c r="F48" s="110">
        <v>2</v>
      </c>
      <c r="G48" s="110"/>
      <c r="H48" s="16"/>
      <c r="I48" s="110">
        <v>1</v>
      </c>
      <c r="J48" s="110">
        <v>1</v>
      </c>
      <c r="K48" s="110">
        <v>1</v>
      </c>
      <c r="L48" s="16"/>
      <c r="M48" s="110">
        <v>3</v>
      </c>
      <c r="N48" s="110">
        <v>1</v>
      </c>
      <c r="O48" s="110">
        <v>1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6"/>
    </row>
    <row r="49" spans="1:30" x14ac:dyDescent="0.25">
      <c r="A49" s="125" t="s">
        <v>39</v>
      </c>
      <c r="B49" s="112">
        <v>3</v>
      </c>
      <c r="C49" s="112"/>
      <c r="D49" s="112" t="s">
        <v>10</v>
      </c>
      <c r="E49" s="112" t="s">
        <v>52</v>
      </c>
      <c r="F49" s="112">
        <v>1</v>
      </c>
      <c r="G49" s="112">
        <v>1</v>
      </c>
      <c r="H49" s="17">
        <v>1</v>
      </c>
      <c r="I49" s="112">
        <v>1</v>
      </c>
      <c r="J49" s="112">
        <v>1</v>
      </c>
      <c r="K49" s="112">
        <v>1</v>
      </c>
      <c r="L49" s="17"/>
      <c r="M49" s="112">
        <v>2</v>
      </c>
      <c r="N49" s="112">
        <v>1</v>
      </c>
      <c r="O49" s="112">
        <v>0.5</v>
      </c>
      <c r="P49" s="11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2"/>
    </row>
    <row r="50" spans="1:30" ht="15.75" thickBot="1" x14ac:dyDescent="0.3">
      <c r="A50" s="125"/>
      <c r="B50" s="112">
        <v>3</v>
      </c>
      <c r="C50" s="112"/>
      <c r="D50" s="112" t="s">
        <v>10</v>
      </c>
      <c r="E50" s="112" t="s">
        <v>49</v>
      </c>
      <c r="F50" s="112">
        <v>2</v>
      </c>
      <c r="G50" s="112"/>
      <c r="H50" s="17"/>
      <c r="I50" s="112">
        <v>1</v>
      </c>
      <c r="J50" s="112">
        <v>1</v>
      </c>
      <c r="K50" s="112">
        <v>1</v>
      </c>
      <c r="L50" s="17"/>
      <c r="M50" s="112">
        <v>3</v>
      </c>
      <c r="N50" s="112">
        <v>1</v>
      </c>
      <c r="O50" s="112">
        <v>1</v>
      </c>
      <c r="P50" s="11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2"/>
    </row>
    <row r="51" spans="1:30" x14ac:dyDescent="0.25">
      <c r="A51" s="69" t="s">
        <v>33</v>
      </c>
      <c r="B51" s="70">
        <v>3</v>
      </c>
      <c r="C51" s="70"/>
      <c r="D51" s="70" t="s">
        <v>10</v>
      </c>
      <c r="E51" s="70" t="s">
        <v>48</v>
      </c>
      <c r="F51" s="70">
        <v>3</v>
      </c>
      <c r="G51" s="70">
        <v>1</v>
      </c>
      <c r="H51" s="15"/>
      <c r="I51" s="70">
        <v>2</v>
      </c>
      <c r="J51" s="70">
        <v>1</v>
      </c>
      <c r="K51" s="70">
        <v>1</v>
      </c>
      <c r="L51" s="15"/>
      <c r="M51" s="70">
        <v>3</v>
      </c>
      <c r="N51" s="70">
        <v>1</v>
      </c>
      <c r="O51" s="70">
        <v>1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3"/>
    </row>
    <row r="52" spans="1:30" ht="15.75" thickBot="1" x14ac:dyDescent="0.3">
      <c r="A52" s="72"/>
      <c r="B52" s="73"/>
      <c r="C52" s="73"/>
      <c r="D52" s="73" t="s">
        <v>11</v>
      </c>
      <c r="E52" s="73" t="s">
        <v>48</v>
      </c>
      <c r="F52" s="73">
        <v>3</v>
      </c>
      <c r="G52" s="73">
        <v>2</v>
      </c>
      <c r="H52" s="16"/>
      <c r="I52" s="73">
        <v>2</v>
      </c>
      <c r="J52" s="73">
        <v>2</v>
      </c>
      <c r="K52" s="73">
        <v>1</v>
      </c>
      <c r="L52" s="16"/>
      <c r="M52" s="73">
        <v>3</v>
      </c>
      <c r="N52" s="73">
        <v>2</v>
      </c>
      <c r="O52" s="73">
        <v>1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6"/>
    </row>
    <row r="53" spans="1:30" x14ac:dyDescent="0.25">
      <c r="A53" s="75" t="s">
        <v>41</v>
      </c>
      <c r="B53" s="76">
        <v>4</v>
      </c>
      <c r="C53" s="76"/>
      <c r="D53" s="76" t="s">
        <v>10</v>
      </c>
      <c r="E53" s="76" t="s">
        <v>46</v>
      </c>
      <c r="F53" s="76">
        <v>9</v>
      </c>
      <c r="G53" s="76">
        <v>1</v>
      </c>
      <c r="H53" s="17"/>
      <c r="I53" s="76">
        <v>8</v>
      </c>
      <c r="J53" s="76">
        <v>1</v>
      </c>
      <c r="K53" s="76">
        <v>1</v>
      </c>
      <c r="L53" s="17"/>
      <c r="M53" s="75">
        <v>11</v>
      </c>
      <c r="N53" s="77">
        <v>1</v>
      </c>
      <c r="O53" s="76">
        <v>0.5</v>
      </c>
      <c r="P53" s="11"/>
      <c r="Q53" s="10">
        <f t="shared" ref="Q53:Q58" si="22">_xlfn.FLOOR.MATH($Q$1/IF(B53=1,2,B53))</f>
        <v>2</v>
      </c>
      <c r="R53" s="10">
        <f t="shared" ref="R53:R58" si="23">(F53*G53)</f>
        <v>9</v>
      </c>
      <c r="S53" s="10">
        <f t="shared" ref="S53:S58" si="24">(I53+((F53-I53)*(1-K53)))*J53</f>
        <v>8</v>
      </c>
      <c r="T53" s="10">
        <f t="shared" ref="T53:T58" si="25">(F53+((M53-F53)*(O53)))*N53</f>
        <v>10</v>
      </c>
      <c r="U53" s="10">
        <f t="shared" si="5"/>
        <v>9</v>
      </c>
      <c r="V53" s="10">
        <f t="shared" ref="V53:V58" si="26">U53/B53</f>
        <v>2.25</v>
      </c>
      <c r="W53" s="10">
        <f>(U53+U54+U55+U56)*Q53</f>
        <v>33.666666666666671</v>
      </c>
      <c r="X53" s="10">
        <f>(V53+V54+V55+V56)*Q53</f>
        <v>8.4166666666666679</v>
      </c>
      <c r="Y53" s="10">
        <f>IF(B53=1,5,MOD($Q$1,Q53))</f>
        <v>0</v>
      </c>
      <c r="Z53" s="10">
        <f>((X53/$Q$1)*Y53)+X53</f>
        <v>8.4166666666666679</v>
      </c>
      <c r="AA53" s="10">
        <f>((W53/40)+1)</f>
        <v>1.8416666666666668</v>
      </c>
      <c r="AB53" s="10">
        <f>AA53^Z53</f>
        <v>170.68400153238795</v>
      </c>
      <c r="AC53" s="10">
        <f>Z53^AA53</f>
        <v>50.559146654736928</v>
      </c>
      <c r="AD53" s="12">
        <f>(AB53+AC53)/2</f>
        <v>110.62157409356244</v>
      </c>
    </row>
    <row r="54" spans="1:30" x14ac:dyDescent="0.25">
      <c r="A54" s="75"/>
      <c r="B54" s="76">
        <v>4</v>
      </c>
      <c r="C54" s="76"/>
      <c r="D54" s="76" t="s">
        <v>10</v>
      </c>
      <c r="E54" s="76" t="s">
        <v>47</v>
      </c>
      <c r="F54" s="76">
        <v>2</v>
      </c>
      <c r="G54" s="76">
        <v>1</v>
      </c>
      <c r="H54" s="17"/>
      <c r="I54" s="76">
        <v>1</v>
      </c>
      <c r="J54" s="76">
        <v>1</v>
      </c>
      <c r="K54" s="76">
        <v>1</v>
      </c>
      <c r="L54" s="17"/>
      <c r="M54" s="75">
        <v>3</v>
      </c>
      <c r="N54" s="77">
        <v>1</v>
      </c>
      <c r="O54" s="76">
        <v>0.5</v>
      </c>
      <c r="P54" s="11"/>
      <c r="Q54" s="10">
        <f t="shared" si="22"/>
        <v>2</v>
      </c>
      <c r="R54" s="10">
        <f t="shared" si="23"/>
        <v>2</v>
      </c>
      <c r="S54" s="10">
        <f t="shared" si="24"/>
        <v>1</v>
      </c>
      <c r="T54" s="10">
        <f t="shared" si="25"/>
        <v>2.5</v>
      </c>
      <c r="U54" s="10">
        <f t="shared" si="5"/>
        <v>1.8333333333333333</v>
      </c>
      <c r="V54" s="10">
        <f t="shared" si="26"/>
        <v>0.45833333333333331</v>
      </c>
      <c r="W54" s="10"/>
      <c r="X54" s="10"/>
      <c r="Y54" s="10"/>
      <c r="Z54" s="10"/>
      <c r="AA54" s="10"/>
      <c r="AB54" s="10"/>
      <c r="AC54" s="10"/>
      <c r="AD54" s="12"/>
    </row>
    <row r="55" spans="1:30" x14ac:dyDescent="0.25">
      <c r="A55" s="75"/>
      <c r="B55" s="76">
        <v>4</v>
      </c>
      <c r="C55" s="76"/>
      <c r="D55" s="76" t="s">
        <v>44</v>
      </c>
      <c r="E55" s="76" t="s">
        <v>49</v>
      </c>
      <c r="F55" s="76">
        <v>4</v>
      </c>
      <c r="G55" s="76">
        <v>1</v>
      </c>
      <c r="H55" s="17"/>
      <c r="I55" s="76">
        <v>2</v>
      </c>
      <c r="J55" s="76">
        <v>1</v>
      </c>
      <c r="K55" s="76">
        <v>1</v>
      </c>
      <c r="L55" s="17"/>
      <c r="M55" s="75">
        <v>6</v>
      </c>
      <c r="N55" s="77">
        <v>1</v>
      </c>
      <c r="O55" s="76">
        <v>1</v>
      </c>
      <c r="P55" s="11"/>
      <c r="Q55" s="10">
        <f t="shared" si="22"/>
        <v>2</v>
      </c>
      <c r="R55" s="10">
        <f t="shared" si="23"/>
        <v>4</v>
      </c>
      <c r="S55" s="10">
        <f t="shared" si="24"/>
        <v>2</v>
      </c>
      <c r="T55" s="10">
        <f t="shared" si="25"/>
        <v>6</v>
      </c>
      <c r="U55" s="10">
        <f t="shared" si="5"/>
        <v>4</v>
      </c>
      <c r="V55" s="10">
        <f t="shared" si="26"/>
        <v>1</v>
      </c>
      <c r="W55" s="10"/>
      <c r="X55" s="10"/>
      <c r="Y55" s="10"/>
      <c r="Z55" s="10"/>
      <c r="AA55" s="10"/>
      <c r="AB55" s="10"/>
      <c r="AC55" s="10"/>
      <c r="AD55" s="12"/>
    </row>
    <row r="56" spans="1:30" ht="15.75" thickBot="1" x14ac:dyDescent="0.3">
      <c r="A56" s="72"/>
      <c r="B56" s="73">
        <v>4</v>
      </c>
      <c r="C56" s="73"/>
      <c r="D56" s="73" t="s">
        <v>44</v>
      </c>
      <c r="E56" s="73" t="s">
        <v>47</v>
      </c>
      <c r="F56" s="73">
        <v>2</v>
      </c>
      <c r="G56" s="73">
        <v>1</v>
      </c>
      <c r="H56" s="16"/>
      <c r="I56" s="73">
        <v>2</v>
      </c>
      <c r="J56" s="73">
        <v>1</v>
      </c>
      <c r="K56" s="73">
        <v>1</v>
      </c>
      <c r="L56" s="16"/>
      <c r="M56" s="72">
        <v>2</v>
      </c>
      <c r="N56" s="74">
        <v>1</v>
      </c>
      <c r="O56" s="73">
        <v>1</v>
      </c>
      <c r="P56" s="4"/>
      <c r="Q56" s="5">
        <f t="shared" si="22"/>
        <v>2</v>
      </c>
      <c r="R56" s="5">
        <f t="shared" si="23"/>
        <v>2</v>
      </c>
      <c r="S56" s="5">
        <f t="shared" si="24"/>
        <v>2</v>
      </c>
      <c r="T56" s="5">
        <f t="shared" si="25"/>
        <v>2</v>
      </c>
      <c r="U56" s="5">
        <f t="shared" si="5"/>
        <v>2</v>
      </c>
      <c r="V56" s="5">
        <f t="shared" si="26"/>
        <v>0.5</v>
      </c>
      <c r="W56" s="5"/>
      <c r="X56" s="5"/>
      <c r="Y56" s="5"/>
      <c r="Z56" s="5"/>
      <c r="AA56" s="5"/>
      <c r="AB56" s="5"/>
      <c r="AC56" s="5"/>
      <c r="AD56" s="6"/>
    </row>
    <row r="57" spans="1:30" x14ac:dyDescent="0.25">
      <c r="A57" s="78" t="s">
        <v>35</v>
      </c>
      <c r="B57" s="79">
        <v>3</v>
      </c>
      <c r="C57" s="79"/>
      <c r="D57" s="79" t="s">
        <v>10</v>
      </c>
      <c r="E57" s="79" t="s">
        <v>46</v>
      </c>
      <c r="F57" s="79">
        <v>3</v>
      </c>
      <c r="G57" s="79">
        <v>1</v>
      </c>
      <c r="H57" s="15"/>
      <c r="I57" s="79">
        <v>3</v>
      </c>
      <c r="J57" s="79">
        <v>1</v>
      </c>
      <c r="K57" s="79">
        <v>1</v>
      </c>
      <c r="L57" s="15"/>
      <c r="M57" s="78">
        <v>4</v>
      </c>
      <c r="N57" s="80">
        <v>1</v>
      </c>
      <c r="O57" s="79">
        <v>0.5</v>
      </c>
      <c r="P57" s="1"/>
      <c r="Q57" s="2">
        <f t="shared" si="22"/>
        <v>3</v>
      </c>
      <c r="R57" s="2">
        <f t="shared" si="23"/>
        <v>3</v>
      </c>
      <c r="S57" s="2">
        <f t="shared" si="24"/>
        <v>3</v>
      </c>
      <c r="T57" s="2">
        <f t="shared" si="25"/>
        <v>3.5</v>
      </c>
      <c r="U57" s="2">
        <f t="shared" si="5"/>
        <v>3.1666666666666665</v>
      </c>
      <c r="V57" s="2">
        <f t="shared" si="26"/>
        <v>1.0555555555555556</v>
      </c>
      <c r="W57" s="2">
        <f>(U57+U58)*Q57</f>
        <v>21.5</v>
      </c>
      <c r="X57" s="2">
        <f>(V57+V58)*Q57</f>
        <v>7.1666666666666661</v>
      </c>
      <c r="Y57" s="2">
        <f>IF(B57=1,5,MOD($Q$1,Q57))</f>
        <v>1</v>
      </c>
      <c r="Z57" s="2">
        <f>((X57/$Q$1)*Y57)+X57</f>
        <v>7.8833333333333329</v>
      </c>
      <c r="AA57" s="2">
        <f>((W57/20)+1)</f>
        <v>2.0750000000000002</v>
      </c>
      <c r="AB57" s="2">
        <f>AA57^Z57</f>
        <v>315.61625567854207</v>
      </c>
      <c r="AC57" s="2">
        <f>Z57^AA57</f>
        <v>72.555948268619218</v>
      </c>
      <c r="AD57" s="3">
        <f>(AB57+AC57)/2</f>
        <v>194.08610197358064</v>
      </c>
    </row>
    <row r="58" spans="1:30" ht="15.75" thickBot="1" x14ac:dyDescent="0.3">
      <c r="A58" s="81"/>
      <c r="B58" s="82">
        <v>3</v>
      </c>
      <c r="C58" s="82"/>
      <c r="D58" s="82" t="s">
        <v>11</v>
      </c>
      <c r="E58" s="82" t="s">
        <v>46</v>
      </c>
      <c r="F58" s="82">
        <v>2</v>
      </c>
      <c r="G58" s="82">
        <v>2</v>
      </c>
      <c r="H58" s="16"/>
      <c r="I58" s="82">
        <v>2</v>
      </c>
      <c r="J58" s="82">
        <v>1</v>
      </c>
      <c r="K58" s="82">
        <v>1</v>
      </c>
      <c r="L58" s="16"/>
      <c r="M58" s="81">
        <v>2</v>
      </c>
      <c r="N58" s="83">
        <v>3</v>
      </c>
      <c r="O58" s="82">
        <v>0.5</v>
      </c>
      <c r="P58" s="4"/>
      <c r="Q58" s="5">
        <f t="shared" si="22"/>
        <v>3</v>
      </c>
      <c r="R58" s="5">
        <f t="shared" si="23"/>
        <v>4</v>
      </c>
      <c r="S58" s="5">
        <f t="shared" si="24"/>
        <v>2</v>
      </c>
      <c r="T58" s="5">
        <f t="shared" si="25"/>
        <v>6</v>
      </c>
      <c r="U58" s="5">
        <f t="shared" si="5"/>
        <v>4</v>
      </c>
      <c r="V58" s="5">
        <f t="shared" si="26"/>
        <v>1.3333333333333333</v>
      </c>
      <c r="W58" s="5"/>
      <c r="X58" s="5"/>
      <c r="Y58" s="5"/>
      <c r="Z58" s="5"/>
      <c r="AA58" s="5"/>
      <c r="AB58" s="5"/>
      <c r="AC58" s="5"/>
      <c r="AD58" s="6"/>
    </row>
    <row r="59" spans="1:30" ht="15.75" thickBot="1" x14ac:dyDescent="0.3">
      <c r="A59" s="78" t="s">
        <v>36</v>
      </c>
      <c r="B59" s="79">
        <v>1</v>
      </c>
      <c r="C59" s="79"/>
      <c r="D59" s="79" t="s">
        <v>45</v>
      </c>
      <c r="E59" s="79" t="s">
        <v>69</v>
      </c>
      <c r="F59" s="79">
        <v>1</v>
      </c>
      <c r="G59" s="79">
        <v>1</v>
      </c>
      <c r="H59" s="15"/>
      <c r="I59" s="79">
        <v>1</v>
      </c>
      <c r="J59" s="79">
        <v>1</v>
      </c>
      <c r="K59" s="79">
        <v>1</v>
      </c>
      <c r="L59" s="15"/>
      <c r="M59" s="78">
        <v>1</v>
      </c>
      <c r="N59" s="80">
        <v>1</v>
      </c>
      <c r="O59" s="79">
        <v>1</v>
      </c>
      <c r="P59" s="7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9"/>
    </row>
    <row r="60" spans="1:30" ht="15.75" thickBot="1" x14ac:dyDescent="0.3">
      <c r="A60" s="117" t="s">
        <v>24</v>
      </c>
      <c r="B60" s="118">
        <v>2</v>
      </c>
      <c r="C60" s="118"/>
      <c r="D60" s="118" t="s">
        <v>26</v>
      </c>
      <c r="E60" s="118" t="s">
        <v>47</v>
      </c>
      <c r="F60" s="118">
        <v>2</v>
      </c>
      <c r="G60" s="118">
        <v>1</v>
      </c>
      <c r="H60" s="15"/>
      <c r="I60" s="118">
        <v>1</v>
      </c>
      <c r="J60" s="118">
        <v>1</v>
      </c>
      <c r="K60" s="118">
        <v>0.5</v>
      </c>
      <c r="L60" s="15"/>
      <c r="M60" s="118">
        <v>3</v>
      </c>
      <c r="N60" s="119">
        <v>1</v>
      </c>
      <c r="O60" s="118">
        <v>0.3</v>
      </c>
      <c r="P60" s="8"/>
      <c r="Q60" s="8">
        <f>_xlfn.FLOOR.MATH($Q$1/IF(B60=1,2,B60))</f>
        <v>5</v>
      </c>
      <c r="R60" s="8">
        <f>(F60*G60)</f>
        <v>2</v>
      </c>
      <c r="S60" s="8">
        <f>(I60+((F60-I60)*(1-K60)))*J60</f>
        <v>1.5</v>
      </c>
      <c r="T60" s="8">
        <f>(F60+((M60-F60)*(O60)))*N60</f>
        <v>2.2999999999999998</v>
      </c>
      <c r="U60" s="8">
        <f t="shared" si="5"/>
        <v>1.9333333333333333</v>
      </c>
      <c r="V60" s="8">
        <f>U60/B60</f>
        <v>0.96666666666666667</v>
      </c>
      <c r="W60" s="8">
        <f>(U60+U61)*Q60</f>
        <v>19.666666666666668</v>
      </c>
      <c r="X60" s="8">
        <f>(V60+V61)*Q60</f>
        <v>9.8333333333333339</v>
      </c>
      <c r="Y60" s="8">
        <f>IF(B60=1,5,MOD($Q$1,Q60))</f>
        <v>0</v>
      </c>
      <c r="Z60" s="8">
        <f>((X60/$Q$1)*Y60)+X60</f>
        <v>9.8333333333333339</v>
      </c>
      <c r="AA60" s="8">
        <f>((W60/20)+1)</f>
        <v>1.9833333333333334</v>
      </c>
      <c r="AB60" s="8">
        <f>AA60^Z60</f>
        <v>840.21640787492299</v>
      </c>
      <c r="AC60" s="8">
        <f>Z60^AA60</f>
        <v>93.080028979836698</v>
      </c>
      <c r="AD60" s="9">
        <f>(AB60+AC60)/2</f>
        <v>466.64821842737985</v>
      </c>
    </row>
    <row r="61" spans="1:30" ht="15.75" thickBot="1" x14ac:dyDescent="0.3">
      <c r="A61" s="106"/>
      <c r="B61" s="107">
        <v>2</v>
      </c>
      <c r="C61" s="107"/>
      <c r="D61" s="107" t="s">
        <v>70</v>
      </c>
      <c r="E61" s="107" t="s">
        <v>47</v>
      </c>
      <c r="F61" s="107">
        <v>2</v>
      </c>
      <c r="G61" s="107">
        <v>1</v>
      </c>
      <c r="H61" s="16"/>
      <c r="I61" s="107">
        <v>2</v>
      </c>
      <c r="J61" s="107">
        <v>1</v>
      </c>
      <c r="K61" s="107">
        <v>1</v>
      </c>
      <c r="L61" s="16"/>
      <c r="M61" s="107">
        <v>2</v>
      </c>
      <c r="N61" s="108">
        <v>1</v>
      </c>
      <c r="O61" s="107">
        <v>1</v>
      </c>
      <c r="P61" s="8"/>
      <c r="Q61" s="8">
        <f>_xlfn.FLOOR.MATH($Q$1/IF(B61=1,2,B61))</f>
        <v>5</v>
      </c>
      <c r="R61" s="8">
        <f>(F61*G61)</f>
        <v>2</v>
      </c>
      <c r="S61" s="8">
        <f>(I61+((F61-I61)*(1-K61)))*J61</f>
        <v>2</v>
      </c>
      <c r="T61" s="8">
        <f>(F61+((M61-F61)*(O61)))*N61</f>
        <v>2</v>
      </c>
      <c r="U61" s="8">
        <f t="shared" si="5"/>
        <v>2</v>
      </c>
      <c r="V61" s="8">
        <f>U61/B61</f>
        <v>1</v>
      </c>
      <c r="W61" s="8"/>
      <c r="X61" s="8"/>
      <c r="Y61" s="8"/>
      <c r="Z61" s="8"/>
      <c r="AA61" s="8"/>
      <c r="AB61" s="8"/>
      <c r="AC61" s="8"/>
      <c r="AD61" s="9"/>
    </row>
    <row r="62" spans="1:30" ht="15.75" thickBot="1" x14ac:dyDescent="0.3">
      <c r="A62" s="106" t="s">
        <v>25</v>
      </c>
      <c r="B62" s="107">
        <v>3</v>
      </c>
      <c r="C62" s="107"/>
      <c r="D62" s="107" t="s">
        <v>23</v>
      </c>
      <c r="E62" s="107" t="s">
        <v>46</v>
      </c>
      <c r="F62" s="107">
        <v>12</v>
      </c>
      <c r="G62" s="107">
        <v>1</v>
      </c>
      <c r="H62" s="16"/>
      <c r="I62" s="107">
        <v>9</v>
      </c>
      <c r="J62" s="107">
        <v>1</v>
      </c>
      <c r="K62" s="107">
        <v>1</v>
      </c>
      <c r="L62" s="16"/>
      <c r="M62" s="106">
        <v>15</v>
      </c>
      <c r="N62" s="108">
        <v>1</v>
      </c>
      <c r="O62" s="107">
        <v>0.5</v>
      </c>
      <c r="P62" s="7"/>
      <c r="Q62" s="8">
        <f>_xlfn.FLOOR.MATH($Q$1/IF(B62=1,2,B62))</f>
        <v>3</v>
      </c>
      <c r="R62" s="8">
        <f>(F62*G62)</f>
        <v>12</v>
      </c>
      <c r="S62" s="8">
        <f>(I62+((F62-I62)*(1-K62)))*J62</f>
        <v>9</v>
      </c>
      <c r="T62" s="8">
        <f>(F62+((M62-F62)*(O62)))*N62</f>
        <v>13.5</v>
      </c>
      <c r="U62" s="8">
        <f t="shared" si="5"/>
        <v>11.5</v>
      </c>
      <c r="V62" s="8">
        <f>U62/B62</f>
        <v>3.8333333333333335</v>
      </c>
      <c r="W62" s="8">
        <f>U62*Q62</f>
        <v>34.5</v>
      </c>
      <c r="X62" s="8">
        <f>V62*Q62</f>
        <v>11.5</v>
      </c>
      <c r="Y62" s="8">
        <f>IF(B62=1,5,MOD($Q$1,Q62))</f>
        <v>1</v>
      </c>
      <c r="Z62" s="8">
        <f>((X62/$Q$1)*Y62)+X62</f>
        <v>12.65</v>
      </c>
      <c r="AA62" s="8">
        <f>((W62/60)+1)</f>
        <v>1.575</v>
      </c>
      <c r="AB62" s="8">
        <f>AA62^Z62</f>
        <v>313.03944166530829</v>
      </c>
      <c r="AC62" s="8">
        <f>Z62^AA62</f>
        <v>54.424265636330681</v>
      </c>
      <c r="AD62" s="9">
        <f>(AB62+AC62)/2</f>
        <v>183.73185365081949</v>
      </c>
    </row>
    <row r="67" spans="1:17" x14ac:dyDescent="0.25">
      <c r="D67" s="18"/>
      <c r="E67" s="18"/>
      <c r="F67" s="18"/>
      <c r="G67" s="18"/>
      <c r="H67" s="18"/>
      <c r="I67" s="18"/>
      <c r="J67" s="18"/>
      <c r="K67" s="18"/>
      <c r="L67" s="18"/>
      <c r="M67" s="18"/>
      <c r="O67" s="18"/>
    </row>
    <row r="72" spans="1:17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</row>
    <row r="73" spans="1:17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</row>
    <row r="74" spans="1:17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</row>
    <row r="75" spans="1:17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</row>
    <row r="76" spans="1:17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</row>
    <row r="77" spans="1:17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</row>
    <row r="78" spans="1:17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</row>
    <row r="79" spans="1:17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</row>
    <row r="80" spans="1:17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</row>
    <row r="81" spans="1:17" x14ac:dyDescent="0.2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</row>
    <row r="82" spans="1:17" x14ac:dyDescent="0.2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</row>
    <row r="83" spans="1:17" x14ac:dyDescent="0.2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</row>
    <row r="84" spans="1:17" x14ac:dyDescent="0.2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</row>
    <row r="85" spans="1:17" x14ac:dyDescent="0.2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</row>
    <row r="86" spans="1:17" x14ac:dyDescent="0.2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</row>
    <row r="87" spans="1:17" x14ac:dyDescent="0.2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</row>
    <row r="88" spans="1:17" x14ac:dyDescent="0.2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</row>
    <row r="89" spans="1:17" x14ac:dyDescent="0.2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</row>
    <row r="90" spans="1:17" x14ac:dyDescent="0.2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</row>
    <row r="91" spans="1:17" x14ac:dyDescent="0.2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</row>
    <row r="92" spans="1:17" x14ac:dyDescent="0.2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</row>
    <row r="93" spans="1:17" x14ac:dyDescent="0.2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</row>
    <row r="94" spans="1:17" x14ac:dyDescent="0.2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</row>
    <row r="95" spans="1:17" x14ac:dyDescent="0.2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</row>
    <row r="96" spans="1:17" x14ac:dyDescent="0.2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</row>
    <row r="97" spans="1:17" x14ac:dyDescent="0.2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</row>
    <row r="98" spans="1:17" x14ac:dyDescent="0.2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</row>
    <row r="99" spans="1:17" x14ac:dyDescent="0.2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</row>
    <row r="100" spans="1:17" x14ac:dyDescent="0.2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</row>
    <row r="101" spans="1:17" x14ac:dyDescent="0.2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</row>
    <row r="102" spans="1:17" x14ac:dyDescent="0.2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</row>
    <row r="103" spans="1:17" x14ac:dyDescent="0.2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</row>
    <row r="104" spans="1:17" x14ac:dyDescent="0.2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</row>
    <row r="105" spans="1:17" x14ac:dyDescent="0.2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</row>
    <row r="106" spans="1:17" x14ac:dyDescent="0.25">
      <c r="A106" s="18"/>
      <c r="B106" s="18"/>
      <c r="C106" s="18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8"/>
      <c r="O106" s="13"/>
      <c r="P106" s="18"/>
      <c r="Q106" s="18"/>
    </row>
    <row r="107" spans="1:17" x14ac:dyDescent="0.25">
      <c r="A107" s="13"/>
      <c r="B107" s="13"/>
      <c r="C107" s="13"/>
      <c r="D107" s="13"/>
      <c r="E107" s="13"/>
      <c r="F107" s="120"/>
      <c r="G107" s="13"/>
      <c r="H107" s="13"/>
      <c r="I107" s="13"/>
      <c r="J107" s="13"/>
      <c r="K107" s="13"/>
      <c r="L107" s="13"/>
      <c r="M107" s="13"/>
      <c r="N107" s="13"/>
      <c r="O107" s="13"/>
      <c r="P107" s="18"/>
      <c r="Q107" s="18"/>
    </row>
    <row r="108" spans="1:17" x14ac:dyDescent="0.2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</row>
    <row r="109" spans="1:17" x14ac:dyDescent="0.2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</row>
    <row r="110" spans="1:17" x14ac:dyDescent="0.2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</row>
    <row r="111" spans="1:17" x14ac:dyDescent="0.2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</row>
    <row r="112" spans="1:17" x14ac:dyDescent="0.2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</row>
    <row r="113" spans="1:17" x14ac:dyDescent="0.2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</row>
    <row r="114" spans="1:17" x14ac:dyDescent="0.2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</row>
    <row r="115" spans="1:17" x14ac:dyDescent="0.2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</row>
    <row r="116" spans="1:17" x14ac:dyDescent="0.2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Brawler</vt:lpstr>
      <vt:lpstr>Scoundrel</vt:lpstr>
      <vt:lpstr>Sorcerer</vt:lpstr>
      <vt:lpstr>Ranger2</vt:lpstr>
      <vt:lpstr>Mage2</vt:lpstr>
      <vt:lpstr>Fighter2</vt:lpstr>
      <vt:lpstr>Basic</vt:lpstr>
      <vt:lpstr>Sheet3</vt:lpstr>
      <vt:lpstr>Scores</vt:lpstr>
      <vt:lpstr>References</vt:lpstr>
      <vt:lpstr>Fighter</vt:lpstr>
      <vt:lpstr>Ranger</vt:lpstr>
      <vt:lpstr>Sheet5</vt:lpstr>
      <vt:lpstr>Mage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MarcPC</dc:creator>
  <cp:lastModifiedBy>Frenette, Marc</cp:lastModifiedBy>
  <cp:lastPrinted>2020-05-09T18:50:56Z</cp:lastPrinted>
  <dcterms:created xsi:type="dcterms:W3CDTF">2015-06-05T18:17:20Z</dcterms:created>
  <dcterms:modified xsi:type="dcterms:W3CDTF">2020-05-17T14:33:08Z</dcterms:modified>
</cp:coreProperties>
</file>